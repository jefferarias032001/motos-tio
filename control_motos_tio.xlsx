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lientes" sheetId="1" state="visible" r:id="rId1"/>
    <sheet name="Registro Diario" sheetId="2" state="visible" r:id="rId2"/>
    <sheet name="Simulado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"/>
  </numFmts>
  <fonts count="11">
    <font>
      <name val="Calibri"/>
      <family val="2"/>
      <color theme="1"/>
      <sz val="11"/>
      <scheme val="minor"/>
    </font>
    <font>
      <b val="1"/>
      <color rgb="00F4EFE2"/>
    </font>
    <font>
      <b val="1"/>
      <color rgb="00F4EFE2"/>
      <sz val="16"/>
    </font>
    <font>
      <b val="1"/>
      <color rgb="00F4EFE2"/>
      <sz val="11"/>
    </font>
    <font>
      <b val="1"/>
      <sz val="10"/>
    </font>
    <font>
      <b val="1"/>
      <sz val="11"/>
    </font>
    <font>
      <i val="1"/>
      <color rgb="00888888"/>
      <sz val="9"/>
    </font>
    <font>
      <b val="1"/>
      <color rgb="001B4332"/>
      <sz val="12"/>
    </font>
    <font>
      <b val="1"/>
      <color rgb="00FFFFFF"/>
      <sz val="10"/>
    </font>
    <font>
      <sz val="9"/>
    </font>
    <font>
      <i val="1"/>
      <color rgb="00555555"/>
      <sz val="9"/>
    </font>
  </fonts>
  <fills count="11">
    <fill>
      <patternFill/>
    </fill>
    <fill>
      <patternFill patternType="gray125"/>
    </fill>
    <fill>
      <patternFill patternType="solid">
        <fgColor rgb="00211E1A"/>
      </patternFill>
    </fill>
    <fill>
      <patternFill patternType="solid">
        <fgColor rgb="003B3028"/>
      </patternFill>
    </fill>
    <fill>
      <patternFill patternType="solid">
        <fgColor rgb="00EAE7E4"/>
      </patternFill>
    </fill>
    <fill>
      <patternFill patternType="solid">
        <fgColor rgb="00FFF3CD"/>
      </patternFill>
    </fill>
    <fill>
      <patternFill patternType="solid">
        <fgColor rgb="00D4EDDA"/>
      </patternFill>
    </fill>
    <fill>
      <patternFill patternType="solid">
        <fgColor rgb="001B4332"/>
      </patternFill>
    </fill>
    <fill>
      <patternFill patternType="solid">
        <fgColor rgb="00495057"/>
      </patternFill>
    </fill>
    <fill>
      <patternFill patternType="solid">
        <fgColor rgb="00FFFFFF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4" fontId="5" fillId="5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2" fontId="5" fillId="5" borderId="1" applyAlignment="1" pivotButton="0" quotePrefix="0" xfId="0">
      <alignment horizontal="center" vertical="center"/>
    </xf>
    <xf numFmtId="4" fontId="5" fillId="6" borderId="1" applyAlignment="1" pivotButton="0" quotePrefix="0" xfId="0">
      <alignment horizontal="center" vertical="center"/>
    </xf>
    <xf numFmtId="0" fontId="3" fillId="7" borderId="0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3" fontId="7" fillId="6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/>
    </xf>
    <xf numFmtId="3" fontId="9" fillId="9" borderId="1" applyAlignment="1" pivotButton="0" quotePrefix="0" xfId="0">
      <alignment horizontal="right"/>
    </xf>
    <xf numFmtId="0" fontId="9" fillId="10" borderId="1" applyAlignment="1" pivotButton="0" quotePrefix="0" xfId="0">
      <alignment horizontal="center"/>
    </xf>
    <xf numFmtId="3" fontId="9" fillId="10" borderId="1" applyAlignment="1" pivotButton="0" quotePrefix="0" xfId="0">
      <alignment horizontal="right"/>
    </xf>
    <xf numFmtId="0" fontId="10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0" customWidth="1" min="3" max="3"/>
    <col width="14" customWidth="1" min="4" max="4"/>
    <col width="44" customWidth="1" min="5" max="5"/>
    <col width="14" customWidth="1" min="6" max="6"/>
  </cols>
  <sheetData>
    <row r="1">
      <c r="A1" s="1" t="inlineStr">
        <is>
          <t>Nombre</t>
        </is>
      </c>
      <c r="B1" s="1" t="inlineStr">
        <is>
          <t>Moto</t>
        </is>
      </c>
      <c r="C1" s="1" t="inlineStr">
        <is>
          <t>Placa</t>
        </is>
      </c>
      <c r="D1" s="1" t="inlineStr">
        <is>
          <t>Inicio</t>
        </is>
      </c>
      <c r="E1" s="1" t="inlineStr">
        <is>
          <t>Observaciones</t>
        </is>
      </c>
      <c r="F1" s="1" t="inlineStr">
        <is>
          <t>Total Cuotas</t>
        </is>
      </c>
    </row>
    <row r="2">
      <c r="A2" t="inlineStr">
        <is>
          <t>Dorlys Jose Julio</t>
        </is>
      </c>
      <c r="B2" t="inlineStr">
        <is>
          <t>Bajaj EYO 114</t>
        </is>
      </c>
      <c r="C2" t="inlineStr">
        <is>
          <t>EYO114</t>
        </is>
      </c>
      <c r="D2" s="2" t="n">
        <v>45644</v>
      </c>
      <c r="E2" t="inlineStr">
        <is>
          <t>Tel: 3205376845 | 595000 inicial</t>
        </is>
      </c>
      <c r="F2" t="n">
        <v>64</v>
      </c>
    </row>
    <row r="3">
      <c r="A3" t="inlineStr">
        <is>
          <t>Elkin Espitia Payares</t>
        </is>
      </c>
      <c r="B3" t="inlineStr">
        <is>
          <t>Bajaj EYO 06H</t>
        </is>
      </c>
      <c r="C3" t="inlineStr">
        <is>
          <t>EYO06H</t>
        </is>
      </c>
      <c r="D3" s="2" t="n">
        <v>45652</v>
      </c>
      <c r="E3" t="inlineStr">
        <is>
          <t>Tel: 3003xx | 5980000</t>
        </is>
      </c>
      <c r="F3" t="n">
        <v>64</v>
      </c>
    </row>
    <row r="4">
      <c r="A4" t="inlineStr">
        <is>
          <t>Juan Andres De Arco</t>
        </is>
      </c>
      <c r="B4" t="inlineStr">
        <is>
          <t>Bajaj KOO 16H</t>
        </is>
      </c>
      <c r="C4" t="inlineStr">
        <is>
          <t>KOO16H</t>
        </is>
      </c>
      <c r="D4" s="2" t="n">
        <v>45662</v>
      </c>
      <c r="E4" t="inlineStr">
        <is>
          <t>Tel: 3202386294 | 5950000 inicial | 63 pagos (1 pendiente)</t>
        </is>
      </c>
      <c r="F4" t="n">
        <v>64</v>
      </c>
    </row>
    <row r="5">
      <c r="A5" t="inlineStr">
        <is>
          <t>Jorge Luis Reyes</t>
        </is>
      </c>
      <c r="B5" t="inlineStr">
        <is>
          <t>Bajaj KOO B1H</t>
        </is>
      </c>
      <c r="C5" t="inlineStr">
        <is>
          <t>KOOB1H</t>
        </is>
      </c>
      <c r="D5" s="2" t="n">
        <v>45667</v>
      </c>
      <c r="E5" t="inlineStr">
        <is>
          <t>Tel: 3202841723 / 3005685892 | 5950000 inicial | CONTRATO FINALIZADO</t>
        </is>
      </c>
      <c r="F5" t="n">
        <v>64</v>
      </c>
    </row>
    <row r="6">
      <c r="A6" t="inlineStr">
        <is>
          <t>Luis Gabriel Polo</t>
        </is>
      </c>
      <c r="B6" t="inlineStr">
        <is>
          <t>Bajaj KOM 89H</t>
        </is>
      </c>
      <c r="C6" t="inlineStr">
        <is>
          <t>KOM89H</t>
        </is>
      </c>
      <c r="D6" s="2" t="n">
        <v>46014</v>
      </c>
      <c r="E6" t="inlineStr">
        <is>
          <t>Tel: 3005685892 | 6806000 inicial | 72 cuotas/18 meses | Moto anterior OYL39H robada, repuesta dic-2025</t>
        </is>
      </c>
      <c r="F6" t="n">
        <v>72</v>
      </c>
    </row>
    <row r="7">
      <c r="A7" t="inlineStr">
        <is>
          <t>Duvon Enrique</t>
        </is>
      </c>
      <c r="B7" t="inlineStr">
        <is>
          <t>Bajaj KEB 58H</t>
        </is>
      </c>
      <c r="C7" t="inlineStr">
        <is>
          <t>KEB58H</t>
        </is>
      </c>
      <c r="D7" s="2" t="n">
        <v>45705</v>
      </c>
      <c r="E7" t="inlineStr">
        <is>
          <t>Tel: 3126959090 | 15360000 total | 16 meses | 63 pagos (1 pendiente)</t>
        </is>
      </c>
      <c r="F7" t="n">
        <v>64</v>
      </c>
    </row>
    <row r="8">
      <c r="A8" t="inlineStr">
        <is>
          <t>Wilmer Ivis</t>
        </is>
      </c>
      <c r="B8" t="inlineStr">
        <is>
          <t>Bajaj KEW 23H</t>
        </is>
      </c>
      <c r="C8" t="inlineStr">
        <is>
          <t>KEW23H</t>
        </is>
      </c>
      <c r="D8" s="2" t="n">
        <v>45751</v>
      </c>
      <c r="E8" t="inlineStr">
        <is>
          <t>Tel: 3233311964 | 15360000 total | 64 cuotas | 59 pagos (5 pendientes)</t>
        </is>
      </c>
      <c r="F8" t="n">
        <v>64</v>
      </c>
    </row>
    <row r="9">
      <c r="A9" t="inlineStr">
        <is>
          <t>Jesus Morales Yuliana Olivares</t>
        </is>
      </c>
      <c r="B9" t="inlineStr">
        <is>
          <t>Bajaj KFK 1AH</t>
        </is>
      </c>
      <c r="C9" t="inlineStr">
        <is>
          <t>KFK1AH</t>
        </is>
      </c>
      <c r="D9" s="2" t="n">
        <v>45785</v>
      </c>
      <c r="E9" t="inlineStr">
        <is>
          <t>Tel: 3465625710 | 17280000 total | 18 meses | 52 pagos (20 pendientes)</t>
        </is>
      </c>
      <c r="F9" t="n">
        <v>72</v>
      </c>
    </row>
    <row r="10">
      <c r="A10" t="inlineStr">
        <is>
          <t>Osmed Brenda</t>
        </is>
      </c>
      <c r="B10" t="inlineStr">
        <is>
          <t>Bajaj OSZ 46H</t>
        </is>
      </c>
      <c r="C10" t="inlineStr">
        <is>
          <t>OSZ46H</t>
        </is>
      </c>
      <c r="D10" s="2" t="n">
        <v>45792</v>
      </c>
      <c r="E10" t="inlineStr">
        <is>
          <t>Tel: 3205197351 | 15360000 total | 64 cuotas | 54 pagos (10 pendientes) | ATRASADO 21 dias</t>
        </is>
      </c>
      <c r="F10" t="n">
        <v>64</v>
      </c>
    </row>
    <row r="11">
      <c r="A11" t="inlineStr">
        <is>
          <t>Chacal Caterine</t>
        </is>
      </c>
      <c r="B11" t="inlineStr">
        <is>
          <t>Bajaj OSZ 43H</t>
        </is>
      </c>
      <c r="C11" t="inlineStr">
        <is>
          <t>OSZ43H</t>
        </is>
      </c>
      <c r="D11" s="2" t="n">
        <v>45790</v>
      </c>
      <c r="E11" t="inlineStr">
        <is>
          <t>Tel: 3245780119 | 17280000 total | 72 cuotas | 50 pagos (22 pendientes)</t>
        </is>
      </c>
      <c r="F11" t="n">
        <v>72</v>
      </c>
    </row>
    <row r="12">
      <c r="A12" t="inlineStr">
        <is>
          <t>Wilian Junior Darlis Esther</t>
        </is>
      </c>
      <c r="B12" t="inlineStr">
        <is>
          <t>Bajaj OTE 02H</t>
        </is>
      </c>
      <c r="C12" t="inlineStr">
        <is>
          <t>OTE02H</t>
        </is>
      </c>
      <c r="D12" s="2" t="n">
        <v>45799</v>
      </c>
      <c r="E12" t="inlineStr">
        <is>
          <t>Tel: 3239896985 | 14400000 total | 60 cuotas | 34 pagos (26 pendientes)</t>
        </is>
      </c>
      <c r="F12" t="n">
        <v>60</v>
      </c>
    </row>
    <row r="13">
      <c r="A13" t="inlineStr">
        <is>
          <t>Darwin Yaimis Ysabel</t>
        </is>
      </c>
      <c r="B13" t="inlineStr">
        <is>
          <t>Bajaj OTE 80H</t>
        </is>
      </c>
      <c r="C13" t="inlineStr">
        <is>
          <t>OTE80H</t>
        </is>
      </c>
      <c r="D13" s="2" t="n">
        <v>45802</v>
      </c>
      <c r="E13" t="inlineStr">
        <is>
          <t>15360000 total | 64 cuotas | 54 pagos (10 pendientes)</t>
        </is>
      </c>
      <c r="F13" t="n">
        <v>64</v>
      </c>
    </row>
    <row r="14">
      <c r="A14" t="inlineStr">
        <is>
          <t>Kevin Rodriguez</t>
        </is>
      </c>
      <c r="B14" t="inlineStr">
        <is>
          <t>Bajaj OXO 04H</t>
        </is>
      </c>
      <c r="C14" t="inlineStr">
        <is>
          <t>OXO04H</t>
        </is>
      </c>
      <c r="D14" s="2" t="n">
        <v>45804</v>
      </c>
      <c r="E14" t="inlineStr">
        <is>
          <t>20160000 total | 84 cuotas/21 meses | pagos bisemanales | 29 pagos (55 pendientes)</t>
        </is>
      </c>
      <c r="F14" t="n">
        <v>84</v>
      </c>
    </row>
    <row r="15">
      <c r="A15" t="inlineStr">
        <is>
          <t>Nabro Maria Jesse</t>
        </is>
      </c>
      <c r="B15" t="inlineStr">
        <is>
          <t>Bajaj OTE 68H</t>
        </is>
      </c>
      <c r="C15" t="inlineStr">
        <is>
          <t>OTE68H</t>
        </is>
      </c>
      <c r="D15" s="2" t="n">
        <v>45769</v>
      </c>
      <c r="E15" t="inlineStr">
        <is>
          <t>15360000 total | 64 cuotas | 51 pagos (13 pendientes)</t>
        </is>
      </c>
      <c r="F15" t="n">
        <v>64</v>
      </c>
    </row>
    <row r="16">
      <c r="A16" t="inlineStr">
        <is>
          <t>Lucho Laura Nosu</t>
        </is>
      </c>
      <c r="B16" t="inlineStr">
        <is>
          <t>Bajaj OTF 59H</t>
        </is>
      </c>
      <c r="C16" t="inlineStr">
        <is>
          <t>OTF59H</t>
        </is>
      </c>
      <c r="D16" s="2" t="n">
        <v>45808</v>
      </c>
      <c r="E16" t="inlineStr">
        <is>
          <t>Tel: 3147356412 | 15360000 total | 64 cuotas | 51 pagos (13 pendientes)</t>
        </is>
      </c>
      <c r="F16" t="n">
        <v>64</v>
      </c>
    </row>
    <row r="17">
      <c r="A17" t="inlineStr">
        <is>
          <t>Roberto</t>
        </is>
      </c>
      <c r="B17" t="inlineStr">
        <is>
          <t>Bajaj OTR 29H</t>
        </is>
      </c>
      <c r="C17" t="inlineStr">
        <is>
          <t>OTR29H</t>
        </is>
      </c>
      <c r="D17" s="2" t="n">
        <v>45832</v>
      </c>
      <c r="E17" t="inlineStr">
        <is>
          <t>Ref: Nik amigo De Guillermo / Flaco Hobiter Edinson | 15360000 total | 64 cuotas | 43 pagos (21 pendientes)</t>
        </is>
      </c>
      <c r="F17" t="n">
        <v>64</v>
      </c>
    </row>
    <row r="18">
      <c r="A18" t="inlineStr">
        <is>
          <t>Braillon</t>
        </is>
      </c>
      <c r="B18" t="inlineStr">
        <is>
          <t>Bajaj OUA 19H</t>
        </is>
      </c>
      <c r="C18" t="inlineStr">
        <is>
          <t>OUA19H</t>
        </is>
      </c>
      <c r="D18" s="2" t="n">
        <v>45855</v>
      </c>
      <c r="E18" t="inlineStr">
        <is>
          <t>15360000 total | 64 cuotas | 43 pagos (21 pendientes)</t>
        </is>
      </c>
      <c r="F18" t="n">
        <v>64</v>
      </c>
    </row>
    <row r="19">
      <c r="A19" t="inlineStr">
        <is>
          <t>Gustavo Primo</t>
        </is>
      </c>
      <c r="B19" t="inlineStr">
        <is>
          <t>Bajaj OON 66H</t>
        </is>
      </c>
      <c r="C19" t="inlineStr">
        <is>
          <t>OON66H</t>
        </is>
      </c>
      <c r="D19" s="2" t="n">
        <v>45750</v>
      </c>
      <c r="E19" t="inlineStr">
        <is>
          <t>moto 19 | 17 meses | 16320000 total | 68 cuotas | 68 pagos (0 pendientes)</t>
        </is>
      </c>
      <c r="F19" t="n">
        <v>68</v>
      </c>
    </row>
    <row r="20">
      <c r="A20" t="inlineStr">
        <is>
          <t>Erzik</t>
        </is>
      </c>
      <c r="B20" t="inlineStr">
        <is>
          <t>Bajaj OUN 39H</t>
        </is>
      </c>
      <c r="C20" t="inlineStr">
        <is>
          <t>OUN39H</t>
        </is>
      </c>
      <c r="D20" s="2" t="n">
        <v>45872</v>
      </c>
      <c r="E20" t="inlineStr">
        <is>
          <t>moto 20 | 36 meses | 13968000 total | 36 cuotas | tarifa 384000/mes | ver fotos 37-38 para pagos adicionales</t>
        </is>
      </c>
      <c r="F20" t="n">
        <v>36</v>
      </c>
    </row>
    <row r="21">
      <c r="A21" t="inlineStr">
        <is>
          <t>Efrain</t>
        </is>
      </c>
      <c r="B21" t="inlineStr">
        <is>
          <t>Bajaj OTZ 01H</t>
        </is>
      </c>
      <c r="C21" t="inlineStr">
        <is>
          <t>OTZ01H</t>
        </is>
      </c>
      <c r="D21" s="2" t="n">
        <v>45902</v>
      </c>
      <c r="E21" t="inlineStr">
        <is>
          <t>Amigo de Guillo | 21 meses | 20160000 total | 84 cuotas | subtotal cuaderno ~11.280.000 (≈47 cuotas) | algunos pagos son multiples por fila</t>
        </is>
      </c>
      <c r="F21" t="n">
        <v>84</v>
      </c>
    </row>
    <row r="22">
      <c r="A22" t="inlineStr">
        <is>
          <t>Gonzado Estherline</t>
        </is>
      </c>
      <c r="B22" t="inlineStr">
        <is>
          <t>Bajaj OUB 81H</t>
        </is>
      </c>
      <c r="C22" t="inlineStr">
        <is>
          <t>OUB81H</t>
        </is>
      </c>
      <c r="D22" s="2" t="n">
        <v>45923</v>
      </c>
      <c r="E22" t="inlineStr">
        <is>
          <t>Cuñado de Katherine | del Choco | Tel: 3205570847 | 21 meses | 20160000 total | 84 cuotas | subtotal cuaderno 11.520.000 (48 cuotas) | 41 registradas fotos 38+39</t>
        </is>
      </c>
      <c r="F22" t="n">
        <v>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98"/>
  <sheetViews>
    <sheetView workbookViewId="0">
      <selection activeCell="A1" sqref="A1"/>
    </sheetView>
  </sheetViews>
  <sheetFormatPr baseColWidth="8" defaultRowHeight="15"/>
  <cols>
    <col width="13" customWidth="1" min="1" max="1"/>
    <col width="24" customWidth="1" min="2" max="2"/>
    <col width="16" customWidth="1" min="3" max="3"/>
    <col width="10" customWidth="1" min="4" max="4"/>
    <col width="14" customWidth="1" min="8" max="8"/>
    <col width="14" customWidth="1" min="9" max="9"/>
    <col width="12" customWidth="1" min="10" max="10"/>
    <col width="14" customWidth="1" min="11" max="11"/>
    <col width="36" customWidth="1" min="16" max="16"/>
  </cols>
  <sheetData>
    <row r="1">
      <c r="A1" s="1" t="inlineStr">
        <is>
          <t>Fecha</t>
        </is>
      </c>
      <c r="B1" s="1" t="inlineStr">
        <is>
          <t>Cliente</t>
        </is>
      </c>
      <c r="C1" s="1" t="inlineStr">
        <is>
          <t>Moto</t>
        </is>
      </c>
      <c r="D1" s="1" t="inlineStr">
        <is>
          <t>Placa</t>
        </is>
      </c>
      <c r="E1" t="inlineStr"/>
      <c r="F1" t="inlineStr"/>
      <c r="G1" t="inlineStr"/>
      <c r="H1" s="1" t="inlineStr">
        <is>
          <t>Pago Diario</t>
        </is>
      </c>
      <c r="I1" s="1" t="inlineStr">
        <is>
          <t>Pago Recibido</t>
        </is>
      </c>
      <c r="J1" s="1" t="inlineStr">
        <is>
          <t>Medio Pago</t>
        </is>
      </c>
      <c r="K1" s="1" t="inlineStr">
        <is>
          <t>Saldo</t>
        </is>
      </c>
      <c r="L1" t="inlineStr"/>
      <c r="M1" t="inlineStr"/>
      <c r="N1" t="inlineStr"/>
      <c r="O1" t="inlineStr"/>
      <c r="P1" s="1" t="inlineStr">
        <is>
          <t>Observaciones</t>
        </is>
      </c>
    </row>
    <row r="2">
      <c r="A2" s="3" t="n">
        <v>45652</v>
      </c>
      <c r="B2" t="inlineStr">
        <is>
          <t>Dorlys Jose Julio</t>
        </is>
      </c>
      <c r="C2" t="inlineStr">
        <is>
          <t>Bajaj EYO 114</t>
        </is>
      </c>
      <c r="D2" t="inlineStr">
        <is>
          <t>EYO114</t>
        </is>
      </c>
      <c r="H2" t="n">
        <v>240000</v>
      </c>
      <c r="I2" t="n">
        <v>240000</v>
      </c>
      <c r="J2" t="inlineStr">
        <is>
          <t>efectivo</t>
        </is>
      </c>
    </row>
    <row r="3">
      <c r="A3" s="3" t="n">
        <v>45659</v>
      </c>
      <c r="B3" t="inlineStr">
        <is>
          <t>Dorlys Jose Julio</t>
        </is>
      </c>
      <c r="C3" t="inlineStr">
        <is>
          <t>Bajaj EYO 114</t>
        </is>
      </c>
      <c r="D3" t="inlineStr">
        <is>
          <t>EYO114</t>
        </is>
      </c>
      <c r="H3" t="n">
        <v>240000</v>
      </c>
      <c r="I3" t="n">
        <v>240000</v>
      </c>
      <c r="J3" t="inlineStr">
        <is>
          <t>efectivo</t>
        </is>
      </c>
    </row>
    <row r="4">
      <c r="A4" s="3" t="n">
        <v>45666</v>
      </c>
      <c r="B4" t="inlineStr">
        <is>
          <t>Dorlys Jose Julio</t>
        </is>
      </c>
      <c r="C4" t="inlineStr">
        <is>
          <t>Bajaj EYO 114</t>
        </is>
      </c>
      <c r="D4" t="inlineStr">
        <is>
          <t>EYO114</t>
        </is>
      </c>
      <c r="H4" t="n">
        <v>240000</v>
      </c>
      <c r="I4" t="n">
        <v>240000</v>
      </c>
      <c r="J4" t="inlineStr">
        <is>
          <t>efectivo</t>
        </is>
      </c>
    </row>
    <row r="5">
      <c r="A5" s="3" t="n">
        <v>45673</v>
      </c>
      <c r="B5" t="inlineStr">
        <is>
          <t>Dorlys Jose Julio</t>
        </is>
      </c>
      <c r="C5" t="inlineStr">
        <is>
          <t>Bajaj EYO 114</t>
        </is>
      </c>
      <c r="D5" t="inlineStr">
        <is>
          <t>EYO114</t>
        </is>
      </c>
      <c r="H5" t="n">
        <v>240000</v>
      </c>
      <c r="I5" t="n">
        <v>240000</v>
      </c>
      <c r="J5" t="inlineStr">
        <is>
          <t>efectivo</t>
        </is>
      </c>
    </row>
    <row r="6">
      <c r="A6" s="3" t="n">
        <v>45680</v>
      </c>
      <c r="B6" t="inlineStr">
        <is>
          <t>Dorlys Jose Julio</t>
        </is>
      </c>
      <c r="C6" t="inlineStr">
        <is>
          <t>Bajaj EYO 114</t>
        </is>
      </c>
      <c r="D6" t="inlineStr">
        <is>
          <t>EYO114</t>
        </is>
      </c>
      <c r="H6" t="n">
        <v>240000</v>
      </c>
      <c r="I6" t="n">
        <v>240000</v>
      </c>
      <c r="J6" t="inlineStr">
        <is>
          <t>efectivo</t>
        </is>
      </c>
    </row>
    <row r="7">
      <c r="A7" s="3" t="n">
        <v>45692</v>
      </c>
      <c r="B7" t="inlineStr">
        <is>
          <t>Dorlys Jose Julio</t>
        </is>
      </c>
      <c r="C7" t="inlineStr">
        <is>
          <t>Bajaj EYO 114</t>
        </is>
      </c>
      <c r="D7" t="inlineStr">
        <is>
          <t>EYO114</t>
        </is>
      </c>
      <c r="H7" t="n">
        <v>240000</v>
      </c>
      <c r="I7" t="n">
        <v>240000</v>
      </c>
      <c r="J7" t="inlineStr">
        <is>
          <t>efectivo</t>
        </is>
      </c>
    </row>
    <row r="8">
      <c r="A8" s="3" t="n">
        <v>45702</v>
      </c>
      <c r="B8" t="inlineStr">
        <is>
          <t>Dorlys Jose Julio</t>
        </is>
      </c>
      <c r="C8" t="inlineStr">
        <is>
          <t>Bajaj EYO 114</t>
        </is>
      </c>
      <c r="D8" t="inlineStr">
        <is>
          <t>EYO114</t>
        </is>
      </c>
      <c r="H8" t="n">
        <v>240000</v>
      </c>
      <c r="I8" t="n">
        <v>240000</v>
      </c>
      <c r="J8" t="inlineStr">
        <is>
          <t>efectivo</t>
        </is>
      </c>
    </row>
    <row r="9">
      <c r="A9" s="3" t="n">
        <v>45710</v>
      </c>
      <c r="B9" t="inlineStr">
        <is>
          <t>Dorlys Jose Julio</t>
        </is>
      </c>
      <c r="C9" t="inlineStr">
        <is>
          <t>Bajaj EYO 114</t>
        </is>
      </c>
      <c r="D9" t="inlineStr">
        <is>
          <t>EYO114</t>
        </is>
      </c>
      <c r="H9" t="n">
        <v>240000</v>
      </c>
      <c r="I9" t="n">
        <v>240000</v>
      </c>
      <c r="J9" t="inlineStr">
        <is>
          <t>efectivo</t>
        </is>
      </c>
    </row>
    <row r="10">
      <c r="A10" s="3" t="n">
        <v>45717</v>
      </c>
      <c r="B10" t="inlineStr">
        <is>
          <t>Dorlys Jose Julio</t>
        </is>
      </c>
      <c r="C10" t="inlineStr">
        <is>
          <t>Bajaj EYO 114</t>
        </is>
      </c>
      <c r="D10" t="inlineStr">
        <is>
          <t>EYO114</t>
        </is>
      </c>
      <c r="H10" t="n">
        <v>240000</v>
      </c>
      <c r="I10" t="n">
        <v>240000</v>
      </c>
      <c r="J10" t="inlineStr">
        <is>
          <t>efectivo</t>
        </is>
      </c>
    </row>
    <row r="11">
      <c r="A11" s="3" t="n">
        <v>45724</v>
      </c>
      <c r="B11" t="inlineStr">
        <is>
          <t>Dorlys Jose Julio</t>
        </is>
      </c>
      <c r="C11" t="inlineStr">
        <is>
          <t>Bajaj EYO 114</t>
        </is>
      </c>
      <c r="D11" t="inlineStr">
        <is>
          <t>EYO114</t>
        </is>
      </c>
      <c r="H11" t="n">
        <v>240000</v>
      </c>
      <c r="I11" t="n">
        <v>240000</v>
      </c>
      <c r="J11" t="inlineStr">
        <is>
          <t>efectivo</t>
        </is>
      </c>
    </row>
    <row r="12">
      <c r="A12" s="3" t="n">
        <v>45732</v>
      </c>
      <c r="B12" t="inlineStr">
        <is>
          <t>Dorlys Jose Julio</t>
        </is>
      </c>
      <c r="C12" t="inlineStr">
        <is>
          <t>Bajaj EYO 114</t>
        </is>
      </c>
      <c r="D12" t="inlineStr">
        <is>
          <t>EYO114</t>
        </is>
      </c>
      <c r="H12" t="n">
        <v>240000</v>
      </c>
      <c r="I12" t="n">
        <v>240000</v>
      </c>
      <c r="J12" t="inlineStr">
        <is>
          <t>efectivo</t>
        </is>
      </c>
    </row>
    <row r="13">
      <c r="A13" s="3" t="n">
        <v>45738</v>
      </c>
      <c r="B13" t="inlineStr">
        <is>
          <t>Dorlys Jose Julio</t>
        </is>
      </c>
      <c r="C13" t="inlineStr">
        <is>
          <t>Bajaj EYO 114</t>
        </is>
      </c>
      <c r="D13" t="inlineStr">
        <is>
          <t>EYO114</t>
        </is>
      </c>
      <c r="H13" t="n">
        <v>240000</v>
      </c>
      <c r="I13" t="n">
        <v>240000</v>
      </c>
      <c r="J13" t="inlineStr">
        <is>
          <t>efectivo</t>
        </is>
      </c>
    </row>
    <row r="14">
      <c r="A14" s="3" t="n">
        <v>45750</v>
      </c>
      <c r="B14" t="inlineStr">
        <is>
          <t>Dorlys Jose Julio</t>
        </is>
      </c>
      <c r="C14" t="inlineStr">
        <is>
          <t>Bajaj EYO 114</t>
        </is>
      </c>
      <c r="D14" t="inlineStr">
        <is>
          <t>EYO114</t>
        </is>
      </c>
      <c r="H14" t="n">
        <v>240000</v>
      </c>
      <c r="I14" t="n">
        <v>240000</v>
      </c>
      <c r="J14" t="inlineStr">
        <is>
          <t>efectivo</t>
        </is>
      </c>
    </row>
    <row r="15">
      <c r="A15" s="3" t="n">
        <v>45759</v>
      </c>
      <c r="B15" t="inlineStr">
        <is>
          <t>Dorlys Jose Julio</t>
        </is>
      </c>
      <c r="C15" t="inlineStr">
        <is>
          <t>Bajaj EYO 114</t>
        </is>
      </c>
      <c r="D15" t="inlineStr">
        <is>
          <t>EYO114</t>
        </is>
      </c>
      <c r="H15" t="n">
        <v>240000</v>
      </c>
      <c r="I15" t="n">
        <v>240000</v>
      </c>
      <c r="J15" t="inlineStr">
        <is>
          <t>efectivo</t>
        </is>
      </c>
    </row>
    <row r="16">
      <c r="A16" s="3" t="n">
        <v>45773</v>
      </c>
      <c r="B16" t="inlineStr">
        <is>
          <t>Dorlys Jose Julio</t>
        </is>
      </c>
      <c r="C16" t="inlineStr">
        <is>
          <t>Bajaj EYO 114</t>
        </is>
      </c>
      <c r="D16" t="inlineStr">
        <is>
          <t>EYO114</t>
        </is>
      </c>
      <c r="H16" t="n">
        <v>240000</v>
      </c>
      <c r="I16" t="n">
        <v>240000</v>
      </c>
      <c r="J16" t="inlineStr">
        <is>
          <t>efectivo</t>
        </is>
      </c>
    </row>
    <row r="17">
      <c r="A17" s="3" t="n">
        <v>45778</v>
      </c>
      <c r="B17" t="inlineStr">
        <is>
          <t>Dorlys Jose Julio</t>
        </is>
      </c>
      <c r="C17" t="inlineStr">
        <is>
          <t>Bajaj EYO 114</t>
        </is>
      </c>
      <c r="D17" t="inlineStr">
        <is>
          <t>EYO114</t>
        </is>
      </c>
      <c r="H17" t="n">
        <v>240000</v>
      </c>
      <c r="I17" t="n">
        <v>240000</v>
      </c>
      <c r="J17" t="inlineStr">
        <is>
          <t>efectivo</t>
        </is>
      </c>
    </row>
    <row r="18">
      <c r="A18" s="3" t="n">
        <v>45813</v>
      </c>
      <c r="B18" t="inlineStr">
        <is>
          <t>Dorlys Jose Julio</t>
        </is>
      </c>
      <c r="C18" t="inlineStr">
        <is>
          <t>Bajaj EYO 114</t>
        </is>
      </c>
      <c r="D18" t="inlineStr">
        <is>
          <t>EYO114</t>
        </is>
      </c>
      <c r="H18" t="n">
        <v>240000</v>
      </c>
      <c r="I18" t="n">
        <v>240000</v>
      </c>
      <c r="J18" t="inlineStr">
        <is>
          <t>efectivo</t>
        </is>
      </c>
    </row>
    <row r="19">
      <c r="A19" s="3" t="n">
        <v>45826</v>
      </c>
      <c r="B19" t="inlineStr">
        <is>
          <t>Dorlys Jose Julio</t>
        </is>
      </c>
      <c r="C19" t="inlineStr">
        <is>
          <t>Bajaj EYO 114</t>
        </is>
      </c>
      <c r="D19" t="inlineStr">
        <is>
          <t>EYO114</t>
        </is>
      </c>
      <c r="H19" t="n">
        <v>240000</v>
      </c>
      <c r="I19" t="n">
        <v>240000</v>
      </c>
      <c r="J19" t="inlineStr">
        <is>
          <t>efectivo</t>
        </is>
      </c>
    </row>
    <row r="20">
      <c r="A20" s="3" t="n">
        <v>45832</v>
      </c>
      <c r="B20" t="inlineStr">
        <is>
          <t>Dorlys Jose Julio</t>
        </is>
      </c>
      <c r="C20" t="inlineStr">
        <is>
          <t>Bajaj EYO 114</t>
        </is>
      </c>
      <c r="D20" t="inlineStr">
        <is>
          <t>EYO114</t>
        </is>
      </c>
      <c r="H20" t="n">
        <v>240000</v>
      </c>
      <c r="I20" t="n">
        <v>240000</v>
      </c>
      <c r="J20" t="inlineStr">
        <is>
          <t>efectivo</t>
        </is>
      </c>
    </row>
    <row r="21">
      <c r="A21" s="3" t="n">
        <v>45840</v>
      </c>
      <c r="B21" t="inlineStr">
        <is>
          <t>Dorlys Jose Julio</t>
        </is>
      </c>
      <c r="C21" t="inlineStr">
        <is>
          <t>Bajaj EYO 114</t>
        </is>
      </c>
      <c r="D21" t="inlineStr">
        <is>
          <t>EYO114</t>
        </is>
      </c>
      <c r="H21" t="n">
        <v>240000</v>
      </c>
      <c r="I21" t="n">
        <v>240000</v>
      </c>
      <c r="J21" t="inlineStr">
        <is>
          <t>efectivo</t>
        </is>
      </c>
    </row>
    <row r="22">
      <c r="A22" s="3" t="n">
        <v>45849</v>
      </c>
      <c r="B22" t="inlineStr">
        <is>
          <t>Dorlys Jose Julio</t>
        </is>
      </c>
      <c r="C22" t="inlineStr">
        <is>
          <t>Bajaj EYO 114</t>
        </is>
      </c>
      <c r="D22" t="inlineStr">
        <is>
          <t>EYO114</t>
        </is>
      </c>
      <c r="H22" t="n">
        <v>240000</v>
      </c>
      <c r="I22" t="n">
        <v>240000</v>
      </c>
      <c r="J22" t="inlineStr">
        <is>
          <t>efectivo</t>
        </is>
      </c>
    </row>
    <row r="23">
      <c r="A23" s="3" t="n">
        <v>45857</v>
      </c>
      <c r="B23" t="inlineStr">
        <is>
          <t>Dorlys Jose Julio</t>
        </is>
      </c>
      <c r="C23" t="inlineStr">
        <is>
          <t>Bajaj EYO 114</t>
        </is>
      </c>
      <c r="D23" t="inlineStr">
        <is>
          <t>EYO114</t>
        </is>
      </c>
      <c r="H23" t="n">
        <v>240000</v>
      </c>
      <c r="I23" t="n">
        <v>240000</v>
      </c>
      <c r="J23" t="inlineStr">
        <is>
          <t>efectivo</t>
        </is>
      </c>
    </row>
    <row r="24">
      <c r="A24" s="3" t="n">
        <v>45866</v>
      </c>
      <c r="B24" t="inlineStr">
        <is>
          <t>Dorlys Jose Julio</t>
        </is>
      </c>
      <c r="C24" t="inlineStr">
        <is>
          <t>Bajaj EYO 114</t>
        </is>
      </c>
      <c r="D24" t="inlineStr">
        <is>
          <t>EYO114</t>
        </is>
      </c>
      <c r="H24" t="n">
        <v>240000</v>
      </c>
      <c r="I24" t="n">
        <v>240000</v>
      </c>
      <c r="J24" t="inlineStr">
        <is>
          <t>efectivo</t>
        </is>
      </c>
    </row>
    <row r="25">
      <c r="A25" s="3" t="n">
        <v>45875</v>
      </c>
      <c r="B25" t="inlineStr">
        <is>
          <t>Dorlys Jose Julio</t>
        </is>
      </c>
      <c r="C25" t="inlineStr">
        <is>
          <t>Bajaj EYO 114</t>
        </is>
      </c>
      <c r="D25" t="inlineStr">
        <is>
          <t>EYO114</t>
        </is>
      </c>
      <c r="H25" t="n">
        <v>240000</v>
      </c>
      <c r="I25" t="n">
        <v>240000</v>
      </c>
      <c r="J25" t="inlineStr">
        <is>
          <t>efectivo</t>
        </is>
      </c>
    </row>
    <row r="26">
      <c r="A26" s="3" t="n">
        <v>45883</v>
      </c>
      <c r="B26" t="inlineStr">
        <is>
          <t>Dorlys Jose Julio</t>
        </is>
      </c>
      <c r="C26" t="inlineStr">
        <is>
          <t>Bajaj EYO 114</t>
        </is>
      </c>
      <c r="D26" t="inlineStr">
        <is>
          <t>EYO114</t>
        </is>
      </c>
      <c r="H26" t="n">
        <v>240000</v>
      </c>
      <c r="I26" t="n">
        <v>240000</v>
      </c>
      <c r="J26" t="inlineStr">
        <is>
          <t>efectivo</t>
        </is>
      </c>
    </row>
    <row r="27">
      <c r="A27" s="3" t="n">
        <v>45891</v>
      </c>
      <c r="B27" t="inlineStr">
        <is>
          <t>Dorlys Jose Julio</t>
        </is>
      </c>
      <c r="C27" t="inlineStr">
        <is>
          <t>Bajaj EYO 114</t>
        </is>
      </c>
      <c r="D27" t="inlineStr">
        <is>
          <t>EYO114</t>
        </is>
      </c>
      <c r="H27" t="n">
        <v>240000</v>
      </c>
      <c r="I27" t="n">
        <v>240000</v>
      </c>
      <c r="J27" t="inlineStr">
        <is>
          <t>efectivo</t>
        </is>
      </c>
    </row>
    <row r="28">
      <c r="A28" s="3" t="n">
        <v>45900</v>
      </c>
      <c r="B28" t="inlineStr">
        <is>
          <t>Dorlys Jose Julio</t>
        </is>
      </c>
      <c r="C28" t="inlineStr">
        <is>
          <t>Bajaj EYO 114</t>
        </is>
      </c>
      <c r="D28" t="inlineStr">
        <is>
          <t>EYO114</t>
        </is>
      </c>
      <c r="H28" t="n">
        <v>240000</v>
      </c>
      <c r="I28" t="n">
        <v>240000</v>
      </c>
      <c r="J28" t="inlineStr">
        <is>
          <t>efectivo</t>
        </is>
      </c>
    </row>
    <row r="29">
      <c r="A29" s="3" t="n">
        <v>45909</v>
      </c>
      <c r="B29" t="inlineStr">
        <is>
          <t>Dorlys Jose Julio</t>
        </is>
      </c>
      <c r="C29" t="inlineStr">
        <is>
          <t>Bajaj EYO 114</t>
        </is>
      </c>
      <c r="D29" t="inlineStr">
        <is>
          <t>EYO114</t>
        </is>
      </c>
      <c r="H29" t="n">
        <v>240000</v>
      </c>
      <c r="I29" t="n">
        <v>240000</v>
      </c>
      <c r="J29" t="inlineStr">
        <is>
          <t>efectivo</t>
        </is>
      </c>
    </row>
    <row r="30">
      <c r="A30" s="3" t="n">
        <v>45918</v>
      </c>
      <c r="B30" t="inlineStr">
        <is>
          <t>Dorlys Jose Julio</t>
        </is>
      </c>
      <c r="C30" t="inlineStr">
        <is>
          <t>Bajaj EYO 114</t>
        </is>
      </c>
      <c r="D30" t="inlineStr">
        <is>
          <t>EYO114</t>
        </is>
      </c>
      <c r="H30" t="n">
        <v>240000</v>
      </c>
      <c r="I30" t="n">
        <v>240000</v>
      </c>
      <c r="J30" t="inlineStr">
        <is>
          <t>efectivo</t>
        </is>
      </c>
    </row>
    <row r="31">
      <c r="A31" s="3" t="n">
        <v>45926</v>
      </c>
      <c r="B31" t="inlineStr">
        <is>
          <t>Dorlys Jose Julio</t>
        </is>
      </c>
      <c r="C31" t="inlineStr">
        <is>
          <t>Bajaj EYO 114</t>
        </is>
      </c>
      <c r="D31" t="inlineStr">
        <is>
          <t>EYO114</t>
        </is>
      </c>
      <c r="H31" t="n">
        <v>240000</v>
      </c>
      <c r="I31" t="n">
        <v>240000</v>
      </c>
      <c r="J31" t="inlineStr">
        <is>
          <t>efectivo</t>
        </is>
      </c>
    </row>
    <row r="32">
      <c r="A32" s="3" t="n">
        <v>45935</v>
      </c>
      <c r="B32" t="inlineStr">
        <is>
          <t>Dorlys Jose Julio</t>
        </is>
      </c>
      <c r="C32" t="inlineStr">
        <is>
          <t>Bajaj EYO 114</t>
        </is>
      </c>
      <c r="D32" t="inlineStr">
        <is>
          <t>EYO114</t>
        </is>
      </c>
      <c r="H32" t="n">
        <v>240000</v>
      </c>
      <c r="I32" t="n">
        <v>240000</v>
      </c>
      <c r="J32" t="inlineStr">
        <is>
          <t>efectivo</t>
        </is>
      </c>
    </row>
    <row r="33">
      <c r="A33" s="3" t="n">
        <v>45943</v>
      </c>
      <c r="B33" t="inlineStr">
        <is>
          <t>Dorlys Jose Julio</t>
        </is>
      </c>
      <c r="C33" t="inlineStr">
        <is>
          <t>Bajaj EYO 114</t>
        </is>
      </c>
      <c r="D33" t="inlineStr">
        <is>
          <t>EYO114</t>
        </is>
      </c>
      <c r="H33" t="n">
        <v>240000</v>
      </c>
      <c r="I33" t="n">
        <v>240000</v>
      </c>
      <c r="J33" t="inlineStr">
        <is>
          <t>efectivo</t>
        </is>
      </c>
    </row>
    <row r="34">
      <c r="A34" s="3" t="n">
        <v>45954</v>
      </c>
      <c r="B34" t="inlineStr">
        <is>
          <t>Dorlys Jose Julio</t>
        </is>
      </c>
      <c r="C34" t="inlineStr">
        <is>
          <t>Bajaj EYO 114</t>
        </is>
      </c>
      <c r="D34" t="inlineStr">
        <is>
          <t>EYO114</t>
        </is>
      </c>
      <c r="H34" t="n">
        <v>240000</v>
      </c>
      <c r="I34" t="n">
        <v>240000</v>
      </c>
      <c r="J34" t="inlineStr">
        <is>
          <t>efectivo</t>
        </is>
      </c>
    </row>
    <row r="35">
      <c r="A35" s="3" t="n">
        <v>45963</v>
      </c>
      <c r="B35" t="inlineStr">
        <is>
          <t>Dorlys Jose Julio</t>
        </is>
      </c>
      <c r="C35" t="inlineStr">
        <is>
          <t>Bajaj EYO 114</t>
        </is>
      </c>
      <c r="D35" t="inlineStr">
        <is>
          <t>EYO114</t>
        </is>
      </c>
      <c r="H35" t="n">
        <v>240000</v>
      </c>
      <c r="I35" t="n">
        <v>240000</v>
      </c>
      <c r="J35" t="inlineStr">
        <is>
          <t>efectivo</t>
        </is>
      </c>
    </row>
    <row r="36">
      <c r="A36" s="3" t="n">
        <v>45973</v>
      </c>
      <c r="B36" t="inlineStr">
        <is>
          <t>Dorlys Jose Julio</t>
        </is>
      </c>
      <c r="C36" t="inlineStr">
        <is>
          <t>Bajaj EYO 114</t>
        </is>
      </c>
      <c r="D36" t="inlineStr">
        <is>
          <t>EYO114</t>
        </is>
      </c>
      <c r="H36" t="n">
        <v>240000</v>
      </c>
      <c r="I36" t="n">
        <v>240000</v>
      </c>
      <c r="J36" t="inlineStr">
        <is>
          <t>efectivo</t>
        </is>
      </c>
    </row>
    <row r="37">
      <c r="A37" s="3" t="n">
        <v>45982</v>
      </c>
      <c r="B37" t="inlineStr">
        <is>
          <t>Dorlys Jose Julio</t>
        </is>
      </c>
      <c r="C37" t="inlineStr">
        <is>
          <t>Bajaj EYO 114</t>
        </is>
      </c>
      <c r="D37" t="inlineStr">
        <is>
          <t>EYO114</t>
        </is>
      </c>
      <c r="H37" t="n">
        <v>240000</v>
      </c>
      <c r="I37" t="n">
        <v>240000</v>
      </c>
      <c r="J37" t="inlineStr">
        <is>
          <t>efectivo</t>
        </is>
      </c>
    </row>
    <row r="38">
      <c r="A38" s="3" t="n">
        <v>45990</v>
      </c>
      <c r="B38" t="inlineStr">
        <is>
          <t>Dorlys Jose Julio</t>
        </is>
      </c>
      <c r="C38" t="inlineStr">
        <is>
          <t>Bajaj EYO 114</t>
        </is>
      </c>
      <c r="D38" t="inlineStr">
        <is>
          <t>EYO114</t>
        </is>
      </c>
      <c r="H38" t="n">
        <v>240000</v>
      </c>
      <c r="I38" t="n">
        <v>240000</v>
      </c>
      <c r="J38" t="inlineStr">
        <is>
          <t>efectivo</t>
        </is>
      </c>
    </row>
    <row r="39">
      <c r="A39" s="3" t="n">
        <v>45999</v>
      </c>
      <c r="B39" t="inlineStr">
        <is>
          <t>Dorlys Jose Julio</t>
        </is>
      </c>
      <c r="C39" t="inlineStr">
        <is>
          <t>Bajaj EYO 114</t>
        </is>
      </c>
      <c r="D39" t="inlineStr">
        <is>
          <t>EYO114</t>
        </is>
      </c>
      <c r="H39" t="n">
        <v>240000</v>
      </c>
      <c r="I39" t="n">
        <v>240000</v>
      </c>
      <c r="J39" t="inlineStr">
        <is>
          <t>efectivo</t>
        </is>
      </c>
    </row>
    <row r="40">
      <c r="A40" s="3" t="n">
        <v>46007</v>
      </c>
      <c r="B40" t="inlineStr">
        <is>
          <t>Dorlys Jose Julio</t>
        </is>
      </c>
      <c r="C40" t="inlineStr">
        <is>
          <t>Bajaj EYO 114</t>
        </is>
      </c>
      <c r="D40" t="inlineStr">
        <is>
          <t>EYO114</t>
        </is>
      </c>
      <c r="H40" t="n">
        <v>240000</v>
      </c>
      <c r="I40" t="n">
        <v>240000</v>
      </c>
      <c r="J40" t="inlineStr">
        <is>
          <t>efectivo</t>
        </is>
      </c>
    </row>
    <row r="41">
      <c r="A41" s="3" t="n">
        <v>46016</v>
      </c>
      <c r="B41" t="inlineStr">
        <is>
          <t>Dorlys Jose Julio</t>
        </is>
      </c>
      <c r="C41" t="inlineStr">
        <is>
          <t>Bajaj EYO 114</t>
        </is>
      </c>
      <c r="D41" t="inlineStr">
        <is>
          <t>EYO114</t>
        </is>
      </c>
      <c r="H41" t="n">
        <v>240000</v>
      </c>
      <c r="I41" t="n">
        <v>240000</v>
      </c>
      <c r="J41" t="inlineStr">
        <is>
          <t>efectivo</t>
        </is>
      </c>
    </row>
    <row r="42">
      <c r="A42" s="3" t="n">
        <v>46030</v>
      </c>
      <c r="B42" t="inlineStr">
        <is>
          <t>Dorlys Jose Julio</t>
        </is>
      </c>
      <c r="C42" t="inlineStr">
        <is>
          <t>Bajaj EYO 114</t>
        </is>
      </c>
      <c r="D42" t="inlineStr">
        <is>
          <t>EYO114</t>
        </is>
      </c>
      <c r="H42" t="n">
        <v>240000</v>
      </c>
      <c r="I42" t="n">
        <v>240000</v>
      </c>
      <c r="J42" t="inlineStr">
        <is>
          <t>efectivo</t>
        </is>
      </c>
    </row>
    <row r="43">
      <c r="A43" s="3" t="n">
        <v>46036</v>
      </c>
      <c r="B43" t="inlineStr">
        <is>
          <t>Dorlys Jose Julio</t>
        </is>
      </c>
      <c r="C43" t="inlineStr">
        <is>
          <t>Bajaj EYO 114</t>
        </is>
      </c>
      <c r="D43" t="inlineStr">
        <is>
          <t>EYO114</t>
        </is>
      </c>
      <c r="H43" t="n">
        <v>240000</v>
      </c>
      <c r="I43" t="n">
        <v>240000</v>
      </c>
      <c r="J43" t="inlineStr">
        <is>
          <t>efectivo</t>
        </is>
      </c>
    </row>
    <row r="44">
      <c r="A44" s="3" t="n">
        <v>46051</v>
      </c>
      <c r="B44" t="inlineStr">
        <is>
          <t>Dorlys Jose Julio</t>
        </is>
      </c>
      <c r="C44" t="inlineStr">
        <is>
          <t>Bajaj EYO 114</t>
        </is>
      </c>
      <c r="D44" t="inlineStr">
        <is>
          <t>EYO114</t>
        </is>
      </c>
      <c r="H44" t="n">
        <v>240000</v>
      </c>
      <c r="I44" t="n">
        <v>240000</v>
      </c>
      <c r="J44" t="inlineStr">
        <is>
          <t>efectivo</t>
        </is>
      </c>
    </row>
    <row r="45">
      <c r="A45" s="3" t="n">
        <v>46056</v>
      </c>
      <c r="B45" t="inlineStr">
        <is>
          <t>Dorlys Jose Julio</t>
        </is>
      </c>
      <c r="C45" t="inlineStr">
        <is>
          <t>Bajaj EYO 114</t>
        </is>
      </c>
      <c r="D45" t="inlineStr">
        <is>
          <t>EYO114</t>
        </is>
      </c>
      <c r="H45" t="n">
        <v>240000</v>
      </c>
      <c r="I45" t="n">
        <v>240000</v>
      </c>
      <c r="J45" t="inlineStr">
        <is>
          <t>efectivo</t>
        </is>
      </c>
    </row>
    <row r="46">
      <c r="A46" s="3" t="n">
        <v>46063</v>
      </c>
      <c r="B46" t="inlineStr">
        <is>
          <t>Dorlys Jose Julio</t>
        </is>
      </c>
      <c r="C46" t="inlineStr">
        <is>
          <t>Bajaj EYO 114</t>
        </is>
      </c>
      <c r="D46" t="inlineStr">
        <is>
          <t>EYO114</t>
        </is>
      </c>
      <c r="H46" t="n">
        <v>240000</v>
      </c>
      <c r="I46" t="n">
        <v>240000</v>
      </c>
      <c r="J46" t="inlineStr">
        <is>
          <t>efectivo</t>
        </is>
      </c>
    </row>
    <row r="47">
      <c r="A47" s="3" t="n">
        <v>46071</v>
      </c>
      <c r="B47" t="inlineStr">
        <is>
          <t>Dorlys Jose Julio</t>
        </is>
      </c>
      <c r="C47" t="inlineStr">
        <is>
          <t>Bajaj EYO 114</t>
        </is>
      </c>
      <c r="D47" t="inlineStr">
        <is>
          <t>EYO114</t>
        </is>
      </c>
      <c r="H47" t="n">
        <v>240000</v>
      </c>
      <c r="I47" t="n">
        <v>240000</v>
      </c>
      <c r="J47" t="inlineStr">
        <is>
          <t>efectivo</t>
        </is>
      </c>
    </row>
    <row r="48">
      <c r="A48" s="3" t="n">
        <v>46081</v>
      </c>
      <c r="B48" t="inlineStr">
        <is>
          <t>Dorlys Jose Julio</t>
        </is>
      </c>
      <c r="C48" t="inlineStr">
        <is>
          <t>Bajaj EYO 114</t>
        </is>
      </c>
      <c r="D48" t="inlineStr">
        <is>
          <t>EYO114</t>
        </is>
      </c>
      <c r="H48" t="n">
        <v>240000</v>
      </c>
      <c r="I48" t="n">
        <v>240000</v>
      </c>
      <c r="J48" t="inlineStr">
        <is>
          <t>efectivo</t>
        </is>
      </c>
    </row>
    <row r="49">
      <c r="A49" s="3" t="n">
        <v>46134</v>
      </c>
      <c r="B49" t="inlineStr">
        <is>
          <t>Dorlys Jose Julio</t>
        </is>
      </c>
      <c r="C49" t="inlineStr">
        <is>
          <t>Bajaj EYO 114</t>
        </is>
      </c>
      <c r="D49" t="inlineStr">
        <is>
          <t>EYO114</t>
        </is>
      </c>
      <c r="H49" t="n">
        <v>240000</v>
      </c>
      <c r="I49" t="n">
        <v>240000</v>
      </c>
      <c r="J49" t="inlineStr">
        <is>
          <t>efectivo</t>
        </is>
      </c>
    </row>
    <row r="50">
      <c r="A50" s="3" t="n">
        <v>46144</v>
      </c>
      <c r="B50" t="inlineStr">
        <is>
          <t>Dorlys Jose Julio</t>
        </is>
      </c>
      <c r="C50" t="inlineStr">
        <is>
          <t>Bajaj EYO 114</t>
        </is>
      </c>
      <c r="D50" t="inlineStr">
        <is>
          <t>EYO114</t>
        </is>
      </c>
      <c r="H50" t="n">
        <v>240000</v>
      </c>
      <c r="I50" t="n">
        <v>240000</v>
      </c>
      <c r="J50" t="inlineStr">
        <is>
          <t>efectivo</t>
        </is>
      </c>
    </row>
    <row r="51">
      <c r="A51" s="3" t="n">
        <v>46152</v>
      </c>
      <c r="B51" t="inlineStr">
        <is>
          <t>Dorlys Jose Julio</t>
        </is>
      </c>
      <c r="C51" t="inlineStr">
        <is>
          <t>Bajaj EYO 114</t>
        </is>
      </c>
      <c r="D51" t="inlineStr">
        <is>
          <t>EYO114</t>
        </is>
      </c>
      <c r="H51" t="n">
        <v>240000</v>
      </c>
      <c r="I51" t="n">
        <v>240000</v>
      </c>
      <c r="J51" t="inlineStr">
        <is>
          <t>efectivo</t>
        </is>
      </c>
    </row>
    <row r="52">
      <c r="A52" s="3" t="n">
        <v>46161</v>
      </c>
      <c r="B52" t="inlineStr">
        <is>
          <t>Dorlys Jose Julio</t>
        </is>
      </c>
      <c r="C52" t="inlineStr">
        <is>
          <t>Bajaj EYO 114</t>
        </is>
      </c>
      <c r="D52" t="inlineStr">
        <is>
          <t>EYO114</t>
        </is>
      </c>
      <c r="H52" t="n">
        <v>240000</v>
      </c>
      <c r="I52" t="n">
        <v>240000</v>
      </c>
      <c r="J52" t="inlineStr">
        <is>
          <t>efectivo</t>
        </is>
      </c>
    </row>
    <row r="53">
      <c r="A53" s="3" t="n">
        <v>46169</v>
      </c>
      <c r="B53" t="inlineStr">
        <is>
          <t>Dorlys Jose Julio</t>
        </is>
      </c>
      <c r="C53" t="inlineStr">
        <is>
          <t>Bajaj EYO 114</t>
        </is>
      </c>
      <c r="D53" t="inlineStr">
        <is>
          <t>EYO114</t>
        </is>
      </c>
      <c r="H53" t="n">
        <v>240000</v>
      </c>
      <c r="I53" t="n">
        <v>240000</v>
      </c>
      <c r="J53" t="inlineStr">
        <is>
          <t>efectivo</t>
        </is>
      </c>
    </row>
    <row r="54">
      <c r="A54" s="3" t="n">
        <v>46179</v>
      </c>
      <c r="B54" t="inlineStr">
        <is>
          <t>Dorlys Jose Julio</t>
        </is>
      </c>
      <c r="C54" t="inlineStr">
        <is>
          <t>Bajaj EYO 114</t>
        </is>
      </c>
      <c r="D54" t="inlineStr">
        <is>
          <t>EYO114</t>
        </is>
      </c>
      <c r="H54" t="n">
        <v>240000</v>
      </c>
      <c r="I54" t="n">
        <v>240000</v>
      </c>
      <c r="J54" t="inlineStr">
        <is>
          <t>efectivo</t>
        </is>
      </c>
    </row>
    <row r="55">
      <c r="A55" s="3" t="n">
        <v>46189</v>
      </c>
      <c r="B55" t="inlineStr">
        <is>
          <t>Dorlys Jose Julio</t>
        </is>
      </c>
      <c r="C55" t="inlineStr">
        <is>
          <t>Bajaj EYO 114</t>
        </is>
      </c>
      <c r="D55" t="inlineStr">
        <is>
          <t>EYO114</t>
        </is>
      </c>
      <c r="H55" t="n">
        <v>240000</v>
      </c>
      <c r="I55" t="n">
        <v>240000</v>
      </c>
      <c r="J55" t="inlineStr">
        <is>
          <t>efectivo</t>
        </is>
      </c>
    </row>
    <row r="56">
      <c r="A56" s="3" t="n">
        <v>46199</v>
      </c>
      <c r="B56" t="inlineStr">
        <is>
          <t>Dorlys Jose Julio</t>
        </is>
      </c>
      <c r="C56" t="inlineStr">
        <is>
          <t>Bajaj EYO 114</t>
        </is>
      </c>
      <c r="D56" t="inlineStr">
        <is>
          <t>EYO114</t>
        </is>
      </c>
      <c r="H56" t="n">
        <v>240000</v>
      </c>
      <c r="I56" t="n">
        <v>240000</v>
      </c>
      <c r="J56" t="inlineStr">
        <is>
          <t>efectivo</t>
        </is>
      </c>
    </row>
    <row r="57">
      <c r="A57" s="3" t="n">
        <v>46210</v>
      </c>
      <c r="B57" t="inlineStr">
        <is>
          <t>Dorlys Jose Julio</t>
        </is>
      </c>
      <c r="C57" t="inlineStr">
        <is>
          <t>Bajaj EYO 114</t>
        </is>
      </c>
      <c r="D57" t="inlineStr">
        <is>
          <t>EYO114</t>
        </is>
      </c>
      <c r="H57" t="n">
        <v>240000</v>
      </c>
      <c r="I57" t="n">
        <v>240000</v>
      </c>
      <c r="J57" t="inlineStr">
        <is>
          <t>efectivo</t>
        </is>
      </c>
    </row>
    <row r="58">
      <c r="A58" s="3" t="n">
        <v>46219</v>
      </c>
      <c r="B58" t="inlineStr">
        <is>
          <t>Dorlys Jose Julio</t>
        </is>
      </c>
      <c r="C58" t="inlineStr">
        <is>
          <t>Bajaj EYO 114</t>
        </is>
      </c>
      <c r="D58" t="inlineStr">
        <is>
          <t>EYO114</t>
        </is>
      </c>
      <c r="H58" t="n">
        <v>240000</v>
      </c>
      <c r="I58" t="n">
        <v>240000</v>
      </c>
      <c r="J58" t="inlineStr">
        <is>
          <t>efectivo</t>
        </is>
      </c>
    </row>
    <row r="59">
      <c r="A59" s="3" t="n">
        <v>45652</v>
      </c>
      <c r="B59" t="inlineStr">
        <is>
          <t>Elkin Espitia Payares</t>
        </is>
      </c>
      <c r="C59" t="inlineStr">
        <is>
          <t>Bajaj EYO 06H</t>
        </is>
      </c>
      <c r="D59" t="inlineStr">
        <is>
          <t>EYO06H</t>
        </is>
      </c>
      <c r="H59" t="n">
        <v>240000</v>
      </c>
      <c r="I59" t="n">
        <v>240000</v>
      </c>
      <c r="J59" t="inlineStr">
        <is>
          <t>efectivo</t>
        </is>
      </c>
    </row>
    <row r="60">
      <c r="A60" s="3" t="n">
        <v>45659</v>
      </c>
      <c r="B60" t="inlineStr">
        <is>
          <t>Elkin Espitia Payares</t>
        </is>
      </c>
      <c r="C60" t="inlineStr">
        <is>
          <t>Bajaj EYO 06H</t>
        </is>
      </c>
      <c r="D60" t="inlineStr">
        <is>
          <t>EYO06H</t>
        </is>
      </c>
      <c r="H60" t="n">
        <v>240000</v>
      </c>
      <c r="I60" t="n">
        <v>240000</v>
      </c>
      <c r="J60" t="inlineStr">
        <is>
          <t>efectivo</t>
        </is>
      </c>
    </row>
    <row r="61">
      <c r="A61" s="3" t="n">
        <v>45666</v>
      </c>
      <c r="B61" t="inlineStr">
        <is>
          <t>Elkin Espitia Payares</t>
        </is>
      </c>
      <c r="C61" t="inlineStr">
        <is>
          <t>Bajaj EYO 06H</t>
        </is>
      </c>
      <c r="D61" t="inlineStr">
        <is>
          <t>EYO06H</t>
        </is>
      </c>
      <c r="H61" t="n">
        <v>240000</v>
      </c>
      <c r="I61" t="n">
        <v>240000</v>
      </c>
      <c r="J61" t="inlineStr">
        <is>
          <t>efectivo</t>
        </is>
      </c>
    </row>
    <row r="62">
      <c r="A62" s="3" t="n">
        <v>45673</v>
      </c>
      <c r="B62" t="inlineStr">
        <is>
          <t>Elkin Espitia Payares</t>
        </is>
      </c>
      <c r="C62" t="inlineStr">
        <is>
          <t>Bajaj EYO 06H</t>
        </is>
      </c>
      <c r="D62" t="inlineStr">
        <is>
          <t>EYO06H</t>
        </is>
      </c>
      <c r="H62" t="n">
        <v>240000</v>
      </c>
      <c r="I62" t="n">
        <v>240000</v>
      </c>
      <c r="J62" t="inlineStr">
        <is>
          <t>efectivo</t>
        </is>
      </c>
    </row>
    <row r="63">
      <c r="A63" s="3" t="n">
        <v>45684</v>
      </c>
      <c r="B63" t="inlineStr">
        <is>
          <t>Elkin Espitia Payares</t>
        </is>
      </c>
      <c r="C63" t="inlineStr">
        <is>
          <t>Bajaj EYO 06H</t>
        </is>
      </c>
      <c r="D63" t="inlineStr">
        <is>
          <t>EYO06H</t>
        </is>
      </c>
      <c r="H63" t="n">
        <v>240000</v>
      </c>
      <c r="I63" t="n">
        <v>240000</v>
      </c>
      <c r="J63" t="inlineStr">
        <is>
          <t>efectivo</t>
        </is>
      </c>
    </row>
    <row r="64">
      <c r="A64" s="3" t="n">
        <v>45692</v>
      </c>
      <c r="B64" t="inlineStr">
        <is>
          <t>Elkin Espitia Payares</t>
        </is>
      </c>
      <c r="C64" t="inlineStr">
        <is>
          <t>Bajaj EYO 06H</t>
        </is>
      </c>
      <c r="D64" t="inlineStr">
        <is>
          <t>EYO06H</t>
        </is>
      </c>
      <c r="H64" t="n">
        <v>240000</v>
      </c>
      <c r="I64" t="n">
        <v>240000</v>
      </c>
      <c r="J64" t="inlineStr">
        <is>
          <t>efectivo</t>
        </is>
      </c>
    </row>
    <row r="65">
      <c r="A65" s="3" t="n">
        <v>45710</v>
      </c>
      <c r="B65" t="inlineStr">
        <is>
          <t>Elkin Espitia Payares</t>
        </is>
      </c>
      <c r="C65" t="inlineStr">
        <is>
          <t>Bajaj EYO 06H</t>
        </is>
      </c>
      <c r="D65" t="inlineStr">
        <is>
          <t>EYO06H</t>
        </is>
      </c>
      <c r="H65" t="n">
        <v>240000</v>
      </c>
      <c r="I65" t="n">
        <v>240000</v>
      </c>
      <c r="J65" t="inlineStr">
        <is>
          <t>efectivo</t>
        </is>
      </c>
    </row>
    <row r="66">
      <c r="A66" s="3" t="n">
        <v>45718</v>
      </c>
      <c r="B66" t="inlineStr">
        <is>
          <t>Elkin Espitia Payares</t>
        </is>
      </c>
      <c r="C66" t="inlineStr">
        <is>
          <t>Bajaj EYO 06H</t>
        </is>
      </c>
      <c r="D66" t="inlineStr">
        <is>
          <t>EYO06H</t>
        </is>
      </c>
      <c r="H66" t="n">
        <v>240000</v>
      </c>
      <c r="I66" t="n">
        <v>240000</v>
      </c>
      <c r="J66" t="inlineStr">
        <is>
          <t>efectivo</t>
        </is>
      </c>
    </row>
    <row r="67">
      <c r="A67" s="3" t="n">
        <v>45727</v>
      </c>
      <c r="B67" t="inlineStr">
        <is>
          <t>Elkin Espitia Payares</t>
        </is>
      </c>
      <c r="C67" t="inlineStr">
        <is>
          <t>Bajaj EYO 06H</t>
        </is>
      </c>
      <c r="D67" t="inlineStr">
        <is>
          <t>EYO06H</t>
        </is>
      </c>
      <c r="H67" t="n">
        <v>240000</v>
      </c>
      <c r="I67" t="n">
        <v>240000</v>
      </c>
      <c r="J67" t="inlineStr">
        <is>
          <t>efectivo</t>
        </is>
      </c>
    </row>
    <row r="68">
      <c r="A68" s="3" t="n">
        <v>45730</v>
      </c>
      <c r="B68" t="inlineStr">
        <is>
          <t>Elkin Espitia Payares</t>
        </is>
      </c>
      <c r="C68" t="inlineStr">
        <is>
          <t>Bajaj EYO 06H</t>
        </is>
      </c>
      <c r="D68" t="inlineStr">
        <is>
          <t>EYO06H</t>
        </is>
      </c>
      <c r="H68" t="n">
        <v>240000</v>
      </c>
      <c r="I68" t="n">
        <v>240000</v>
      </c>
      <c r="J68" t="inlineStr">
        <is>
          <t>efectivo</t>
        </is>
      </c>
    </row>
    <row r="69">
      <c r="A69" s="3" t="n">
        <v>45743</v>
      </c>
      <c r="B69" t="inlineStr">
        <is>
          <t>Elkin Espitia Payares</t>
        </is>
      </c>
      <c r="C69" t="inlineStr">
        <is>
          <t>Bajaj EYO 06H</t>
        </is>
      </c>
      <c r="D69" t="inlineStr">
        <is>
          <t>EYO06H</t>
        </is>
      </c>
      <c r="H69" t="n">
        <v>240000</v>
      </c>
      <c r="I69" t="n">
        <v>240000</v>
      </c>
      <c r="J69" t="inlineStr">
        <is>
          <t>efectivo</t>
        </is>
      </c>
    </row>
    <row r="70">
      <c r="A70" s="3" t="n">
        <v>45751</v>
      </c>
      <c r="B70" t="inlineStr">
        <is>
          <t>Elkin Espitia Payares</t>
        </is>
      </c>
      <c r="C70" t="inlineStr">
        <is>
          <t>Bajaj EYO 06H</t>
        </is>
      </c>
      <c r="D70" t="inlineStr">
        <is>
          <t>EYO06H</t>
        </is>
      </c>
      <c r="H70" t="n">
        <v>240000</v>
      </c>
      <c r="I70" t="n">
        <v>240000</v>
      </c>
      <c r="J70" t="inlineStr">
        <is>
          <t>efectivo</t>
        </is>
      </c>
    </row>
    <row r="71">
      <c r="A71" s="3" t="n">
        <v>45759</v>
      </c>
      <c r="B71" t="inlineStr">
        <is>
          <t>Elkin Espitia Payares</t>
        </is>
      </c>
      <c r="C71" t="inlineStr">
        <is>
          <t>Bajaj EYO 06H</t>
        </is>
      </c>
      <c r="D71" t="inlineStr">
        <is>
          <t>EYO06H</t>
        </is>
      </c>
      <c r="H71" t="n">
        <v>240000</v>
      </c>
      <c r="I71" t="n">
        <v>240000</v>
      </c>
      <c r="J71" t="inlineStr">
        <is>
          <t>efectivo</t>
        </is>
      </c>
    </row>
    <row r="72">
      <c r="A72" s="3" t="n">
        <v>45767</v>
      </c>
      <c r="B72" t="inlineStr">
        <is>
          <t>Elkin Espitia Payares</t>
        </is>
      </c>
      <c r="C72" t="inlineStr">
        <is>
          <t>Bajaj EYO 06H</t>
        </is>
      </c>
      <c r="D72" t="inlineStr">
        <is>
          <t>EYO06H</t>
        </is>
      </c>
      <c r="H72" t="n">
        <v>240000</v>
      </c>
      <c r="I72" t="n">
        <v>240000</v>
      </c>
      <c r="J72" t="inlineStr">
        <is>
          <t>efectivo</t>
        </is>
      </c>
    </row>
    <row r="73">
      <c r="A73" s="3" t="n">
        <v>45775</v>
      </c>
      <c r="B73" t="inlineStr">
        <is>
          <t>Elkin Espitia Payares</t>
        </is>
      </c>
      <c r="C73" t="inlineStr">
        <is>
          <t>Bajaj EYO 06H</t>
        </is>
      </c>
      <c r="D73" t="inlineStr">
        <is>
          <t>EYO06H</t>
        </is>
      </c>
      <c r="H73" t="n">
        <v>240000</v>
      </c>
      <c r="I73" t="n">
        <v>240000</v>
      </c>
      <c r="J73" t="inlineStr">
        <is>
          <t>efectivo</t>
        </is>
      </c>
    </row>
    <row r="74">
      <c r="A74" s="3" t="n">
        <v>45783</v>
      </c>
      <c r="B74" t="inlineStr">
        <is>
          <t>Elkin Espitia Payares</t>
        </is>
      </c>
      <c r="C74" t="inlineStr">
        <is>
          <t>Bajaj EYO 06H</t>
        </is>
      </c>
      <c r="D74" t="inlineStr">
        <is>
          <t>EYO06H</t>
        </is>
      </c>
      <c r="H74" t="n">
        <v>240000</v>
      </c>
      <c r="I74" t="n">
        <v>240000</v>
      </c>
      <c r="J74" t="inlineStr">
        <is>
          <t>efectivo</t>
        </is>
      </c>
    </row>
    <row r="75">
      <c r="A75" s="3" t="n">
        <v>45793</v>
      </c>
      <c r="B75" t="inlineStr">
        <is>
          <t>Elkin Espitia Payares</t>
        </is>
      </c>
      <c r="C75" t="inlineStr">
        <is>
          <t>Bajaj EYO 06H</t>
        </is>
      </c>
      <c r="D75" t="inlineStr">
        <is>
          <t>EYO06H</t>
        </is>
      </c>
      <c r="H75" t="n">
        <v>240000</v>
      </c>
      <c r="I75" t="n">
        <v>240000</v>
      </c>
      <c r="J75" t="inlineStr">
        <is>
          <t>efectivo</t>
        </is>
      </c>
    </row>
    <row r="76">
      <c r="A76" s="3" t="n">
        <v>45801</v>
      </c>
      <c r="B76" t="inlineStr">
        <is>
          <t>Elkin Espitia Payares</t>
        </is>
      </c>
      <c r="C76" t="inlineStr">
        <is>
          <t>Bajaj EYO 06H</t>
        </is>
      </c>
      <c r="D76" t="inlineStr">
        <is>
          <t>EYO06H</t>
        </is>
      </c>
      <c r="H76" t="n">
        <v>240000</v>
      </c>
      <c r="I76" t="n">
        <v>240000</v>
      </c>
      <c r="J76" t="inlineStr">
        <is>
          <t>efectivo</t>
        </is>
      </c>
    </row>
    <row r="77">
      <c r="A77" s="3" t="n">
        <v>45811</v>
      </c>
      <c r="B77" t="inlineStr">
        <is>
          <t>Elkin Espitia Payares</t>
        </is>
      </c>
      <c r="C77" t="inlineStr">
        <is>
          <t>Bajaj EYO 06H</t>
        </is>
      </c>
      <c r="D77" t="inlineStr">
        <is>
          <t>EYO06H</t>
        </is>
      </c>
      <c r="H77" t="n">
        <v>240000</v>
      </c>
      <c r="I77" t="n">
        <v>240000</v>
      </c>
      <c r="J77" t="inlineStr">
        <is>
          <t>efectivo</t>
        </is>
      </c>
    </row>
    <row r="78">
      <c r="A78" s="3" t="n">
        <v>45816</v>
      </c>
      <c r="B78" t="inlineStr">
        <is>
          <t>Elkin Espitia Payares</t>
        </is>
      </c>
      <c r="C78" t="inlineStr">
        <is>
          <t>Bajaj EYO 06H</t>
        </is>
      </c>
      <c r="D78" t="inlineStr">
        <is>
          <t>EYO06H</t>
        </is>
      </c>
      <c r="H78" t="n">
        <v>240000</v>
      </c>
      <c r="I78" t="n">
        <v>240000</v>
      </c>
      <c r="J78" t="inlineStr">
        <is>
          <t>efectivo</t>
        </is>
      </c>
    </row>
    <row r="79">
      <c r="A79" s="3" t="n">
        <v>45822</v>
      </c>
      <c r="B79" t="inlineStr">
        <is>
          <t>Elkin Espitia Payares</t>
        </is>
      </c>
      <c r="C79" t="inlineStr">
        <is>
          <t>Bajaj EYO 06H</t>
        </is>
      </c>
      <c r="D79" t="inlineStr">
        <is>
          <t>EYO06H</t>
        </is>
      </c>
      <c r="H79" t="n">
        <v>240000</v>
      </c>
      <c r="I79" t="n">
        <v>240000</v>
      </c>
      <c r="J79" t="inlineStr">
        <is>
          <t>efectivo</t>
        </is>
      </c>
    </row>
    <row r="80">
      <c r="A80" s="3" t="n">
        <v>45838</v>
      </c>
      <c r="B80" t="inlineStr">
        <is>
          <t>Elkin Espitia Payares</t>
        </is>
      </c>
      <c r="C80" t="inlineStr">
        <is>
          <t>Bajaj EYO 06H</t>
        </is>
      </c>
      <c r="D80" t="inlineStr">
        <is>
          <t>EYO06H</t>
        </is>
      </c>
      <c r="H80" t="n">
        <v>240000</v>
      </c>
      <c r="I80" t="n">
        <v>240000</v>
      </c>
      <c r="J80" t="inlineStr">
        <is>
          <t>efectivo</t>
        </is>
      </c>
    </row>
    <row r="81">
      <c r="A81" s="3" t="n">
        <v>45847</v>
      </c>
      <c r="B81" t="inlineStr">
        <is>
          <t>Elkin Espitia Payares</t>
        </is>
      </c>
      <c r="C81" t="inlineStr">
        <is>
          <t>Bajaj EYO 06H</t>
        </is>
      </c>
      <c r="D81" t="inlineStr">
        <is>
          <t>EYO06H</t>
        </is>
      </c>
      <c r="H81" t="n">
        <v>240000</v>
      </c>
      <c r="I81" t="n">
        <v>240000</v>
      </c>
      <c r="J81" t="inlineStr">
        <is>
          <t>efectivo</t>
        </is>
      </c>
    </row>
    <row r="82">
      <c r="A82" s="3" t="n">
        <v>45856</v>
      </c>
      <c r="B82" t="inlineStr">
        <is>
          <t>Elkin Espitia Payares</t>
        </is>
      </c>
      <c r="C82" t="inlineStr">
        <is>
          <t>Bajaj EYO 06H</t>
        </is>
      </c>
      <c r="D82" t="inlineStr">
        <is>
          <t>EYO06H</t>
        </is>
      </c>
      <c r="H82" t="n">
        <v>240000</v>
      </c>
      <c r="I82" t="n">
        <v>240000</v>
      </c>
      <c r="J82" t="inlineStr">
        <is>
          <t>efectivo</t>
        </is>
      </c>
    </row>
    <row r="83">
      <c r="A83" s="3" t="n">
        <v>45867</v>
      </c>
      <c r="B83" t="inlineStr">
        <is>
          <t>Elkin Espitia Payares</t>
        </is>
      </c>
      <c r="C83" t="inlineStr">
        <is>
          <t>Bajaj EYO 06H</t>
        </is>
      </c>
      <c r="D83" t="inlineStr">
        <is>
          <t>EYO06H</t>
        </is>
      </c>
      <c r="H83" t="n">
        <v>240000</v>
      </c>
      <c r="I83" t="n">
        <v>240000</v>
      </c>
      <c r="J83" t="inlineStr">
        <is>
          <t>efectivo</t>
        </is>
      </c>
    </row>
    <row r="84">
      <c r="A84" s="3" t="n">
        <v>45876</v>
      </c>
      <c r="B84" t="inlineStr">
        <is>
          <t>Elkin Espitia Payares</t>
        </is>
      </c>
      <c r="C84" t="inlineStr">
        <is>
          <t>Bajaj EYO 06H</t>
        </is>
      </c>
      <c r="D84" t="inlineStr">
        <is>
          <t>EYO06H</t>
        </is>
      </c>
      <c r="H84" t="n">
        <v>240000</v>
      </c>
      <c r="I84" t="n">
        <v>240000</v>
      </c>
      <c r="J84" t="inlineStr">
        <is>
          <t>efectivo</t>
        </is>
      </c>
    </row>
    <row r="85">
      <c r="A85" s="3" t="n">
        <v>45885</v>
      </c>
      <c r="B85" t="inlineStr">
        <is>
          <t>Elkin Espitia Payares</t>
        </is>
      </c>
      <c r="C85" t="inlineStr">
        <is>
          <t>Bajaj EYO 06H</t>
        </is>
      </c>
      <c r="D85" t="inlineStr">
        <is>
          <t>EYO06H</t>
        </is>
      </c>
      <c r="H85" t="n">
        <v>240000</v>
      </c>
      <c r="I85" t="n">
        <v>240000</v>
      </c>
      <c r="J85" t="inlineStr">
        <is>
          <t>efectivo</t>
        </is>
      </c>
    </row>
    <row r="86">
      <c r="A86" s="3" t="n">
        <v>45893</v>
      </c>
      <c r="B86" t="inlineStr">
        <is>
          <t>Elkin Espitia Payares</t>
        </is>
      </c>
      <c r="C86" t="inlineStr">
        <is>
          <t>Bajaj EYO 06H</t>
        </is>
      </c>
      <c r="D86" t="inlineStr">
        <is>
          <t>EYO06H</t>
        </is>
      </c>
      <c r="H86" t="n">
        <v>240000</v>
      </c>
      <c r="I86" t="n">
        <v>240000</v>
      </c>
      <c r="J86" t="inlineStr">
        <is>
          <t>efectivo</t>
        </is>
      </c>
    </row>
    <row r="87">
      <c r="A87" s="3" t="n">
        <v>45902</v>
      </c>
      <c r="B87" t="inlineStr">
        <is>
          <t>Elkin Espitia Payares</t>
        </is>
      </c>
      <c r="C87" t="inlineStr">
        <is>
          <t>Bajaj EYO 06H</t>
        </is>
      </c>
      <c r="D87" t="inlineStr">
        <is>
          <t>EYO06H</t>
        </is>
      </c>
      <c r="H87" t="n">
        <v>240000</v>
      </c>
      <c r="I87" t="n">
        <v>240000</v>
      </c>
      <c r="J87" t="inlineStr">
        <is>
          <t>efectivo</t>
        </is>
      </c>
    </row>
    <row r="88">
      <c r="A88" s="3" t="n">
        <v>45910</v>
      </c>
      <c r="B88" t="inlineStr">
        <is>
          <t>Elkin Espitia Payares</t>
        </is>
      </c>
      <c r="C88" t="inlineStr">
        <is>
          <t>Bajaj EYO 06H</t>
        </is>
      </c>
      <c r="D88" t="inlineStr">
        <is>
          <t>EYO06H</t>
        </is>
      </c>
      <c r="H88" t="n">
        <v>240000</v>
      </c>
      <c r="I88" t="n">
        <v>240000</v>
      </c>
      <c r="J88" t="inlineStr">
        <is>
          <t>efectivo</t>
        </is>
      </c>
    </row>
    <row r="89">
      <c r="A89" s="3" t="n">
        <v>45918</v>
      </c>
      <c r="B89" t="inlineStr">
        <is>
          <t>Elkin Espitia Payares</t>
        </is>
      </c>
      <c r="C89" t="inlineStr">
        <is>
          <t>Bajaj EYO 06H</t>
        </is>
      </c>
      <c r="D89" t="inlineStr">
        <is>
          <t>EYO06H</t>
        </is>
      </c>
      <c r="H89" t="n">
        <v>240000</v>
      </c>
      <c r="I89" t="n">
        <v>240000</v>
      </c>
      <c r="J89" t="inlineStr">
        <is>
          <t>efectivo</t>
        </is>
      </c>
    </row>
    <row r="90">
      <c r="A90" s="3" t="n">
        <v>45926</v>
      </c>
      <c r="B90" t="inlineStr">
        <is>
          <t>Elkin Espitia Payares</t>
        </is>
      </c>
      <c r="C90" t="inlineStr">
        <is>
          <t>Bajaj EYO 06H</t>
        </is>
      </c>
      <c r="D90" t="inlineStr">
        <is>
          <t>EYO06H</t>
        </is>
      </c>
      <c r="H90" t="n">
        <v>240000</v>
      </c>
      <c r="I90" t="n">
        <v>240000</v>
      </c>
      <c r="J90" t="inlineStr">
        <is>
          <t>efectivo</t>
        </is>
      </c>
    </row>
    <row r="91">
      <c r="A91" s="3" t="n">
        <v>45934</v>
      </c>
      <c r="B91" t="inlineStr">
        <is>
          <t>Elkin Espitia Payares</t>
        </is>
      </c>
      <c r="C91" t="inlineStr">
        <is>
          <t>Bajaj EYO 06H</t>
        </is>
      </c>
      <c r="D91" t="inlineStr">
        <is>
          <t>EYO06H</t>
        </is>
      </c>
      <c r="H91" t="n">
        <v>240000</v>
      </c>
      <c r="I91" t="n">
        <v>240000</v>
      </c>
      <c r="J91" t="inlineStr">
        <is>
          <t>efectivo</t>
        </is>
      </c>
    </row>
    <row r="92">
      <c r="A92" s="3" t="n">
        <v>45944</v>
      </c>
      <c r="B92" t="inlineStr">
        <is>
          <t>Elkin Espitia Payares</t>
        </is>
      </c>
      <c r="C92" t="inlineStr">
        <is>
          <t>Bajaj EYO 06H</t>
        </is>
      </c>
      <c r="D92" t="inlineStr">
        <is>
          <t>EYO06H</t>
        </is>
      </c>
      <c r="H92" t="n">
        <v>240000</v>
      </c>
      <c r="I92" t="n">
        <v>240000</v>
      </c>
      <c r="J92" t="inlineStr">
        <is>
          <t>efectivo</t>
        </is>
      </c>
    </row>
    <row r="93">
      <c r="A93" s="3" t="n">
        <v>45951</v>
      </c>
      <c r="B93" t="inlineStr">
        <is>
          <t>Elkin Espitia Payares</t>
        </is>
      </c>
      <c r="C93" t="inlineStr">
        <is>
          <t>Bajaj EYO 06H</t>
        </is>
      </c>
      <c r="D93" t="inlineStr">
        <is>
          <t>EYO06H</t>
        </is>
      </c>
      <c r="H93" t="n">
        <v>240000</v>
      </c>
      <c r="I93" t="n">
        <v>240000</v>
      </c>
      <c r="J93" t="inlineStr">
        <is>
          <t>efectivo</t>
        </is>
      </c>
    </row>
    <row r="94">
      <c r="A94" s="3" t="n">
        <v>45961</v>
      </c>
      <c r="B94" t="inlineStr">
        <is>
          <t>Elkin Espitia Payares</t>
        </is>
      </c>
      <c r="C94" t="inlineStr">
        <is>
          <t>Bajaj EYO 06H</t>
        </is>
      </c>
      <c r="D94" t="inlineStr">
        <is>
          <t>EYO06H</t>
        </is>
      </c>
      <c r="H94" t="n">
        <v>240000</v>
      </c>
      <c r="I94" t="n">
        <v>240000</v>
      </c>
      <c r="J94" t="inlineStr">
        <is>
          <t>efectivo</t>
        </is>
      </c>
    </row>
    <row r="95">
      <c r="A95" s="3" t="n">
        <v>45970</v>
      </c>
      <c r="B95" t="inlineStr">
        <is>
          <t>Elkin Espitia Payares</t>
        </is>
      </c>
      <c r="C95" t="inlineStr">
        <is>
          <t>Bajaj EYO 06H</t>
        </is>
      </c>
      <c r="D95" t="inlineStr">
        <is>
          <t>EYO06H</t>
        </is>
      </c>
      <c r="H95" t="n">
        <v>240000</v>
      </c>
      <c r="I95" t="n">
        <v>240000</v>
      </c>
      <c r="J95" t="inlineStr">
        <is>
          <t>efectivo</t>
        </is>
      </c>
    </row>
    <row r="96">
      <c r="A96" s="3" t="n">
        <v>45980</v>
      </c>
      <c r="B96" t="inlineStr">
        <is>
          <t>Elkin Espitia Payares</t>
        </is>
      </c>
      <c r="C96" t="inlineStr">
        <is>
          <t>Bajaj EYO 06H</t>
        </is>
      </c>
      <c r="D96" t="inlineStr">
        <is>
          <t>EYO06H</t>
        </is>
      </c>
      <c r="H96" t="n">
        <v>240000</v>
      </c>
      <c r="I96" t="n">
        <v>240000</v>
      </c>
      <c r="J96" t="inlineStr">
        <is>
          <t>efectivo</t>
        </is>
      </c>
    </row>
    <row r="97">
      <c r="A97" s="3" t="n">
        <v>45987</v>
      </c>
      <c r="B97" t="inlineStr">
        <is>
          <t>Elkin Espitia Payares</t>
        </is>
      </c>
      <c r="C97" t="inlineStr">
        <is>
          <t>Bajaj EYO 06H</t>
        </is>
      </c>
      <c r="D97" t="inlineStr">
        <is>
          <t>EYO06H</t>
        </is>
      </c>
      <c r="H97" t="n">
        <v>240000</v>
      </c>
      <c r="I97" t="n">
        <v>240000</v>
      </c>
      <c r="J97" t="inlineStr">
        <is>
          <t>efectivo</t>
        </is>
      </c>
    </row>
    <row r="98">
      <c r="A98" s="3" t="n">
        <v>45997</v>
      </c>
      <c r="B98" t="inlineStr">
        <is>
          <t>Elkin Espitia Payares</t>
        </is>
      </c>
      <c r="C98" t="inlineStr">
        <is>
          <t>Bajaj EYO 06H</t>
        </is>
      </c>
      <c r="D98" t="inlineStr">
        <is>
          <t>EYO06H</t>
        </is>
      </c>
      <c r="H98" t="n">
        <v>240000</v>
      </c>
      <c r="I98" t="n">
        <v>240000</v>
      </c>
      <c r="J98" t="inlineStr">
        <is>
          <t>efectivo</t>
        </is>
      </c>
    </row>
    <row r="99">
      <c r="A99" s="3" t="n">
        <v>46005</v>
      </c>
      <c r="B99" t="inlineStr">
        <is>
          <t>Elkin Espitia Payares</t>
        </is>
      </c>
      <c r="C99" t="inlineStr">
        <is>
          <t>Bajaj EYO 06H</t>
        </is>
      </c>
      <c r="D99" t="inlineStr">
        <is>
          <t>EYO06H</t>
        </is>
      </c>
      <c r="H99" t="n">
        <v>240000</v>
      </c>
      <c r="I99" t="n">
        <v>240000</v>
      </c>
      <c r="J99" t="inlineStr">
        <is>
          <t>efectivo</t>
        </is>
      </c>
    </row>
    <row r="100">
      <c r="A100" s="3" t="n">
        <v>46014</v>
      </c>
      <c r="B100" t="inlineStr">
        <is>
          <t>Elkin Espitia Payares</t>
        </is>
      </c>
      <c r="C100" t="inlineStr">
        <is>
          <t>Bajaj EYO 06H</t>
        </is>
      </c>
      <c r="D100" t="inlineStr">
        <is>
          <t>EYO06H</t>
        </is>
      </c>
      <c r="H100" t="n">
        <v>240000</v>
      </c>
      <c r="I100" t="n">
        <v>240000</v>
      </c>
      <c r="J100" t="inlineStr">
        <is>
          <t>efectivo</t>
        </is>
      </c>
    </row>
    <row r="101">
      <c r="A101" s="3" t="n">
        <v>46029</v>
      </c>
      <c r="B101" t="inlineStr">
        <is>
          <t>Elkin Espitia Payares</t>
        </is>
      </c>
      <c r="C101" t="inlineStr">
        <is>
          <t>Bajaj EYO 06H</t>
        </is>
      </c>
      <c r="D101" t="inlineStr">
        <is>
          <t>EYO06H</t>
        </is>
      </c>
      <c r="H101" t="n">
        <v>240000</v>
      </c>
      <c r="I101" t="n">
        <v>240000</v>
      </c>
      <c r="J101" t="inlineStr">
        <is>
          <t>efectivo</t>
        </is>
      </c>
    </row>
    <row r="102">
      <c r="A102" s="3" t="n">
        <v>46038</v>
      </c>
      <c r="B102" t="inlineStr">
        <is>
          <t>Elkin Espitia Payares</t>
        </is>
      </c>
      <c r="C102" t="inlineStr">
        <is>
          <t>Bajaj EYO 06H</t>
        </is>
      </c>
      <c r="D102" t="inlineStr">
        <is>
          <t>EYO06H</t>
        </is>
      </c>
      <c r="H102" t="n">
        <v>240000</v>
      </c>
      <c r="I102" t="n">
        <v>240000</v>
      </c>
      <c r="J102" t="inlineStr">
        <is>
          <t>efectivo</t>
        </is>
      </c>
    </row>
    <row r="103">
      <c r="A103" s="3" t="n">
        <v>46046</v>
      </c>
      <c r="B103" t="inlineStr">
        <is>
          <t>Elkin Espitia Payares</t>
        </is>
      </c>
      <c r="C103" t="inlineStr">
        <is>
          <t>Bajaj EYO 06H</t>
        </is>
      </c>
      <c r="D103" t="inlineStr">
        <is>
          <t>EYO06H</t>
        </is>
      </c>
      <c r="H103" t="n">
        <v>240000</v>
      </c>
      <c r="I103" t="n">
        <v>240000</v>
      </c>
      <c r="J103" t="inlineStr">
        <is>
          <t>efectivo</t>
        </is>
      </c>
    </row>
    <row r="104">
      <c r="A104" s="3" t="n">
        <v>46055</v>
      </c>
      <c r="B104" t="inlineStr">
        <is>
          <t>Elkin Espitia Payares</t>
        </is>
      </c>
      <c r="C104" t="inlineStr">
        <is>
          <t>Bajaj EYO 06H</t>
        </is>
      </c>
      <c r="D104" t="inlineStr">
        <is>
          <t>EYO06H</t>
        </is>
      </c>
      <c r="H104" t="n">
        <v>240000</v>
      </c>
      <c r="I104" t="n">
        <v>240000</v>
      </c>
      <c r="J104" t="inlineStr">
        <is>
          <t>efectivo</t>
        </is>
      </c>
    </row>
    <row r="105">
      <c r="A105" s="3" t="n">
        <v>46066</v>
      </c>
      <c r="B105" t="inlineStr">
        <is>
          <t>Elkin Espitia Payares</t>
        </is>
      </c>
      <c r="C105" t="inlineStr">
        <is>
          <t>Bajaj EYO 06H</t>
        </is>
      </c>
      <c r="D105" t="inlineStr">
        <is>
          <t>EYO06H</t>
        </is>
      </c>
      <c r="H105" t="n">
        <v>240000</v>
      </c>
      <c r="I105" t="n">
        <v>240000</v>
      </c>
      <c r="J105" t="inlineStr">
        <is>
          <t>efectivo</t>
        </is>
      </c>
    </row>
    <row r="106">
      <c r="A106" s="3" t="n">
        <v>46077</v>
      </c>
      <c r="B106" t="inlineStr">
        <is>
          <t>Elkin Espitia Payares</t>
        </is>
      </c>
      <c r="C106" t="inlineStr">
        <is>
          <t>Bajaj EYO 06H</t>
        </is>
      </c>
      <c r="D106" t="inlineStr">
        <is>
          <t>EYO06H</t>
        </is>
      </c>
      <c r="H106" t="n">
        <v>240000</v>
      </c>
      <c r="I106" t="n">
        <v>240000</v>
      </c>
      <c r="J106" t="inlineStr">
        <is>
          <t>efectivo</t>
        </is>
      </c>
    </row>
    <row r="107">
      <c r="A107" s="3" t="n">
        <v>46083</v>
      </c>
      <c r="B107" t="inlineStr">
        <is>
          <t>Elkin Espitia Payares</t>
        </is>
      </c>
      <c r="C107" t="inlineStr">
        <is>
          <t>Bajaj EYO 06H</t>
        </is>
      </c>
      <c r="D107" t="inlineStr">
        <is>
          <t>EYO06H</t>
        </is>
      </c>
      <c r="H107" t="n">
        <v>240000</v>
      </c>
      <c r="I107" t="n">
        <v>240000</v>
      </c>
      <c r="J107" t="inlineStr">
        <is>
          <t>efectivo</t>
        </is>
      </c>
    </row>
    <row r="108">
      <c r="A108" s="3" t="n">
        <v>46096</v>
      </c>
      <c r="B108" t="inlineStr">
        <is>
          <t>Elkin Espitia Payares</t>
        </is>
      </c>
      <c r="C108" t="inlineStr">
        <is>
          <t>Bajaj EYO 06H</t>
        </is>
      </c>
      <c r="D108" t="inlineStr">
        <is>
          <t>EYO06H</t>
        </is>
      </c>
      <c r="H108" t="n">
        <v>240000</v>
      </c>
      <c r="I108" t="n">
        <v>240000</v>
      </c>
      <c r="J108" t="inlineStr">
        <is>
          <t>efectivo</t>
        </is>
      </c>
    </row>
    <row r="109">
      <c r="A109" s="3" t="n">
        <v>46111</v>
      </c>
      <c r="B109" t="inlineStr">
        <is>
          <t>Elkin Espitia Payares</t>
        </is>
      </c>
      <c r="C109" t="inlineStr">
        <is>
          <t>Bajaj EYO 06H</t>
        </is>
      </c>
      <c r="D109" t="inlineStr">
        <is>
          <t>EYO06H</t>
        </is>
      </c>
      <c r="H109" t="n">
        <v>240000</v>
      </c>
      <c r="I109" t="n">
        <v>240000</v>
      </c>
      <c r="J109" t="inlineStr">
        <is>
          <t>efectivo</t>
        </is>
      </c>
    </row>
    <row r="110">
      <c r="A110" s="3" t="n">
        <v>46130</v>
      </c>
      <c r="B110" t="inlineStr">
        <is>
          <t>Elkin Espitia Payares</t>
        </is>
      </c>
      <c r="C110" t="inlineStr">
        <is>
          <t>Bajaj EYO 06H</t>
        </is>
      </c>
      <c r="D110" t="inlineStr">
        <is>
          <t>EYO06H</t>
        </is>
      </c>
      <c r="H110" t="n">
        <v>240000</v>
      </c>
      <c r="I110" t="n">
        <v>240000</v>
      </c>
      <c r="J110" t="inlineStr">
        <is>
          <t>efectivo</t>
        </is>
      </c>
    </row>
    <row r="111">
      <c r="A111" s="3" t="n">
        <v>46140</v>
      </c>
      <c r="B111" t="inlineStr">
        <is>
          <t>Elkin Espitia Payares</t>
        </is>
      </c>
      <c r="C111" t="inlineStr">
        <is>
          <t>Bajaj EYO 06H</t>
        </is>
      </c>
      <c r="D111" t="inlineStr">
        <is>
          <t>EYO06H</t>
        </is>
      </c>
      <c r="H111" t="n">
        <v>240000</v>
      </c>
      <c r="I111" t="n">
        <v>240000</v>
      </c>
      <c r="J111" t="inlineStr">
        <is>
          <t>efectivo</t>
        </is>
      </c>
    </row>
    <row r="112">
      <c r="A112" s="3" t="n">
        <v>46158</v>
      </c>
      <c r="B112" t="inlineStr">
        <is>
          <t>Elkin Espitia Payares</t>
        </is>
      </c>
      <c r="C112" t="inlineStr">
        <is>
          <t>Bajaj EYO 06H</t>
        </is>
      </c>
      <c r="D112" t="inlineStr">
        <is>
          <t>EYO06H</t>
        </is>
      </c>
      <c r="H112" t="n">
        <v>240000</v>
      </c>
      <c r="I112" t="n">
        <v>240000</v>
      </c>
      <c r="J112" t="inlineStr">
        <is>
          <t>efectivo</t>
        </is>
      </c>
    </row>
    <row r="113">
      <c r="A113" s="3" t="n">
        <v>46162</v>
      </c>
      <c r="B113" t="inlineStr">
        <is>
          <t>Elkin Espitia Payares</t>
        </is>
      </c>
      <c r="C113" t="inlineStr">
        <is>
          <t>Bajaj EYO 06H</t>
        </is>
      </c>
      <c r="D113" t="inlineStr">
        <is>
          <t>EYO06H</t>
        </is>
      </c>
      <c r="H113" t="n">
        <v>240000</v>
      </c>
      <c r="I113" t="n">
        <v>240000</v>
      </c>
      <c r="J113" t="inlineStr">
        <is>
          <t>efectivo</t>
        </is>
      </c>
    </row>
    <row r="114">
      <c r="A114" s="3" t="n">
        <v>46188</v>
      </c>
      <c r="B114" t="inlineStr">
        <is>
          <t>Elkin Espitia Payares</t>
        </is>
      </c>
      <c r="C114" t="inlineStr">
        <is>
          <t>Bajaj EYO 06H</t>
        </is>
      </c>
      <c r="D114" t="inlineStr">
        <is>
          <t>EYO06H</t>
        </is>
      </c>
      <c r="H114" t="n">
        <v>240000</v>
      </c>
      <c r="I114" t="n">
        <v>240000</v>
      </c>
      <c r="J114" t="inlineStr">
        <is>
          <t>efectivo</t>
        </is>
      </c>
    </row>
    <row r="115">
      <c r="A115" s="3" t="n">
        <v>46204</v>
      </c>
      <c r="B115" t="inlineStr">
        <is>
          <t>Elkin Espitia Payares</t>
        </is>
      </c>
      <c r="C115" t="inlineStr">
        <is>
          <t>Bajaj EYO 06H</t>
        </is>
      </c>
      <c r="D115" t="inlineStr">
        <is>
          <t>EYO06H</t>
        </is>
      </c>
      <c r="H115" t="n">
        <v>240000</v>
      </c>
      <c r="I115" t="n">
        <v>240000</v>
      </c>
      <c r="J115" t="inlineStr">
        <is>
          <t>efectivo</t>
        </is>
      </c>
    </row>
    <row r="116">
      <c r="A116" s="3" t="n">
        <v>46224</v>
      </c>
      <c r="B116" t="inlineStr">
        <is>
          <t>Elkin Espitia Payares</t>
        </is>
      </c>
      <c r="C116" t="inlineStr">
        <is>
          <t>Bajaj EYO 06H</t>
        </is>
      </c>
      <c r="D116" t="inlineStr">
        <is>
          <t>EYO06H</t>
        </is>
      </c>
      <c r="H116" t="n">
        <v>240000</v>
      </c>
      <c r="I116" t="n">
        <v>240000</v>
      </c>
      <c r="J116" t="inlineStr">
        <is>
          <t>efectivo</t>
        </is>
      </c>
    </row>
    <row r="117">
      <c r="A117" s="3" t="n">
        <v>45662</v>
      </c>
      <c r="B117" t="inlineStr">
        <is>
          <t>Juan Andres De Arco</t>
        </is>
      </c>
      <c r="C117" t="inlineStr">
        <is>
          <t>Bajaj KOO 16H</t>
        </is>
      </c>
      <c r="D117" t="inlineStr">
        <is>
          <t>KOO16H</t>
        </is>
      </c>
      <c r="H117" t="n">
        <v>240000</v>
      </c>
      <c r="I117" t="n">
        <v>240000</v>
      </c>
      <c r="J117" t="inlineStr">
        <is>
          <t>efectivo</t>
        </is>
      </c>
    </row>
    <row r="118">
      <c r="A118" s="3" t="n">
        <v>45670</v>
      </c>
      <c r="B118" t="inlineStr">
        <is>
          <t>Juan Andres De Arco</t>
        </is>
      </c>
      <c r="C118" t="inlineStr">
        <is>
          <t>Bajaj KOO 16H</t>
        </is>
      </c>
      <c r="D118" t="inlineStr">
        <is>
          <t>KOO16H</t>
        </is>
      </c>
      <c r="H118" t="n">
        <v>240000</v>
      </c>
      <c r="I118" t="n">
        <v>240000</v>
      </c>
      <c r="J118" t="inlineStr">
        <is>
          <t>efectivo</t>
        </is>
      </c>
    </row>
    <row r="119">
      <c r="A119" s="3" t="n">
        <v>45678</v>
      </c>
      <c r="B119" t="inlineStr">
        <is>
          <t>Juan Andres De Arco</t>
        </is>
      </c>
      <c r="C119" t="inlineStr">
        <is>
          <t>Bajaj KOO 16H</t>
        </is>
      </c>
      <c r="D119" t="inlineStr">
        <is>
          <t>KOO16H</t>
        </is>
      </c>
      <c r="H119" t="n">
        <v>240000</v>
      </c>
      <c r="I119" t="n">
        <v>240000</v>
      </c>
      <c r="J119" t="inlineStr">
        <is>
          <t>efectivo</t>
        </is>
      </c>
    </row>
    <row r="120">
      <c r="A120" s="3" t="n">
        <v>45686</v>
      </c>
      <c r="B120" t="inlineStr">
        <is>
          <t>Juan Andres De Arco</t>
        </is>
      </c>
      <c r="C120" t="inlineStr">
        <is>
          <t>Bajaj KOO 16H</t>
        </is>
      </c>
      <c r="D120" t="inlineStr">
        <is>
          <t>KOO16H</t>
        </is>
      </c>
      <c r="H120" t="n">
        <v>240000</v>
      </c>
      <c r="I120" t="n">
        <v>240000</v>
      </c>
      <c r="J120" t="inlineStr">
        <is>
          <t>efectivo</t>
        </is>
      </c>
    </row>
    <row r="121">
      <c r="A121" s="3" t="n">
        <v>45694</v>
      </c>
      <c r="B121" t="inlineStr">
        <is>
          <t>Juan Andres De Arco</t>
        </is>
      </c>
      <c r="C121" t="inlineStr">
        <is>
          <t>Bajaj KOO 16H</t>
        </is>
      </c>
      <c r="D121" t="inlineStr">
        <is>
          <t>KOO16H</t>
        </is>
      </c>
      <c r="H121" t="n">
        <v>240000</v>
      </c>
      <c r="I121" t="n">
        <v>240000</v>
      </c>
      <c r="J121" t="inlineStr">
        <is>
          <t>efectivo</t>
        </is>
      </c>
    </row>
    <row r="122">
      <c r="A122" s="3" t="n">
        <v>45702</v>
      </c>
      <c r="B122" t="inlineStr">
        <is>
          <t>Juan Andres De Arco</t>
        </is>
      </c>
      <c r="C122" t="inlineStr">
        <is>
          <t>Bajaj KOO 16H</t>
        </is>
      </c>
      <c r="D122" t="inlineStr">
        <is>
          <t>KOO16H</t>
        </is>
      </c>
      <c r="H122" t="n">
        <v>240000</v>
      </c>
      <c r="I122" t="n">
        <v>240000</v>
      </c>
      <c r="J122" t="inlineStr">
        <is>
          <t>efectivo</t>
        </is>
      </c>
    </row>
    <row r="123">
      <c r="A123" s="3" t="n">
        <v>45710</v>
      </c>
      <c r="B123" t="inlineStr">
        <is>
          <t>Juan Andres De Arco</t>
        </is>
      </c>
      <c r="C123" t="inlineStr">
        <is>
          <t>Bajaj KOO 16H</t>
        </is>
      </c>
      <c r="D123" t="inlineStr">
        <is>
          <t>KOO16H</t>
        </is>
      </c>
      <c r="H123" t="n">
        <v>240000</v>
      </c>
      <c r="I123" t="n">
        <v>240000</v>
      </c>
      <c r="J123" t="inlineStr">
        <is>
          <t>efectivo</t>
        </is>
      </c>
    </row>
    <row r="124">
      <c r="A124" s="3" t="n">
        <v>45718</v>
      </c>
      <c r="B124" t="inlineStr">
        <is>
          <t>Juan Andres De Arco</t>
        </is>
      </c>
      <c r="C124" t="inlineStr">
        <is>
          <t>Bajaj KOO 16H</t>
        </is>
      </c>
      <c r="D124" t="inlineStr">
        <is>
          <t>KOO16H</t>
        </is>
      </c>
      <c r="H124" t="n">
        <v>240000</v>
      </c>
      <c r="I124" t="n">
        <v>240000</v>
      </c>
      <c r="J124" t="inlineStr">
        <is>
          <t>efectivo</t>
        </is>
      </c>
    </row>
    <row r="125">
      <c r="A125" s="3" t="n">
        <v>45726</v>
      </c>
      <c r="B125" t="inlineStr">
        <is>
          <t>Juan Andres De Arco</t>
        </is>
      </c>
      <c r="C125" t="inlineStr">
        <is>
          <t>Bajaj KOO 16H</t>
        </is>
      </c>
      <c r="D125" t="inlineStr">
        <is>
          <t>KOO16H</t>
        </is>
      </c>
      <c r="H125" t="n">
        <v>240000</v>
      </c>
      <c r="I125" t="n">
        <v>240000</v>
      </c>
      <c r="J125" t="inlineStr">
        <is>
          <t>efectivo</t>
        </is>
      </c>
    </row>
    <row r="126">
      <c r="A126" s="3" t="n">
        <v>45734</v>
      </c>
      <c r="B126" t="inlineStr">
        <is>
          <t>Juan Andres De Arco</t>
        </is>
      </c>
      <c r="C126" t="inlineStr">
        <is>
          <t>Bajaj KOO 16H</t>
        </is>
      </c>
      <c r="D126" t="inlineStr">
        <is>
          <t>KOO16H</t>
        </is>
      </c>
      <c r="H126" t="n">
        <v>240000</v>
      </c>
      <c r="I126" t="n">
        <v>240000</v>
      </c>
      <c r="J126" t="inlineStr">
        <is>
          <t>efectivo</t>
        </is>
      </c>
    </row>
    <row r="127">
      <c r="A127" s="3" t="n">
        <v>45742</v>
      </c>
      <c r="B127" t="inlineStr">
        <is>
          <t>Juan Andres De Arco</t>
        </is>
      </c>
      <c r="C127" t="inlineStr">
        <is>
          <t>Bajaj KOO 16H</t>
        </is>
      </c>
      <c r="D127" t="inlineStr">
        <is>
          <t>KOO16H</t>
        </is>
      </c>
      <c r="H127" t="n">
        <v>240000</v>
      </c>
      <c r="I127" t="n">
        <v>240000</v>
      </c>
      <c r="J127" t="inlineStr">
        <is>
          <t>efectivo</t>
        </is>
      </c>
    </row>
    <row r="128">
      <c r="A128" s="3" t="n">
        <v>45751</v>
      </c>
      <c r="B128" t="inlineStr">
        <is>
          <t>Juan Andres De Arco</t>
        </is>
      </c>
      <c r="C128" t="inlineStr">
        <is>
          <t>Bajaj KOO 16H</t>
        </is>
      </c>
      <c r="D128" t="inlineStr">
        <is>
          <t>KOO16H</t>
        </is>
      </c>
      <c r="H128" t="n">
        <v>240000</v>
      </c>
      <c r="I128" t="n">
        <v>240000</v>
      </c>
      <c r="J128" t="inlineStr">
        <is>
          <t>efectivo</t>
        </is>
      </c>
    </row>
    <row r="129">
      <c r="A129" s="3" t="n">
        <v>45759</v>
      </c>
      <c r="B129" t="inlineStr">
        <is>
          <t>Juan Andres De Arco</t>
        </is>
      </c>
      <c r="C129" t="inlineStr">
        <is>
          <t>Bajaj KOO 16H</t>
        </is>
      </c>
      <c r="D129" t="inlineStr">
        <is>
          <t>KOO16H</t>
        </is>
      </c>
      <c r="H129" t="n">
        <v>240000</v>
      </c>
      <c r="I129" t="n">
        <v>240000</v>
      </c>
      <c r="J129" t="inlineStr">
        <is>
          <t>efectivo</t>
        </is>
      </c>
    </row>
    <row r="130">
      <c r="A130" s="3" t="n">
        <v>45767</v>
      </c>
      <c r="B130" t="inlineStr">
        <is>
          <t>Juan Andres De Arco</t>
        </is>
      </c>
      <c r="C130" t="inlineStr">
        <is>
          <t>Bajaj KOO 16H</t>
        </is>
      </c>
      <c r="D130" t="inlineStr">
        <is>
          <t>KOO16H</t>
        </is>
      </c>
      <c r="H130" t="n">
        <v>240000</v>
      </c>
      <c r="I130" t="n">
        <v>240000</v>
      </c>
      <c r="J130" t="inlineStr">
        <is>
          <t>efectivo</t>
        </is>
      </c>
    </row>
    <row r="131">
      <c r="A131" s="3" t="n">
        <v>45775</v>
      </c>
      <c r="B131" t="inlineStr">
        <is>
          <t>Juan Andres De Arco</t>
        </is>
      </c>
      <c r="C131" t="inlineStr">
        <is>
          <t>Bajaj KOO 16H</t>
        </is>
      </c>
      <c r="D131" t="inlineStr">
        <is>
          <t>KOO16H</t>
        </is>
      </c>
      <c r="H131" t="n">
        <v>240000</v>
      </c>
      <c r="I131" t="n">
        <v>240000</v>
      </c>
      <c r="J131" t="inlineStr">
        <is>
          <t>efectivo</t>
        </is>
      </c>
    </row>
    <row r="132">
      <c r="A132" s="3" t="n">
        <v>45783</v>
      </c>
      <c r="B132" t="inlineStr">
        <is>
          <t>Juan Andres De Arco</t>
        </is>
      </c>
      <c r="C132" t="inlineStr">
        <is>
          <t>Bajaj KOO 16H</t>
        </is>
      </c>
      <c r="D132" t="inlineStr">
        <is>
          <t>KOO16H</t>
        </is>
      </c>
      <c r="H132" t="n">
        <v>240000</v>
      </c>
      <c r="I132" t="n">
        <v>240000</v>
      </c>
      <c r="J132" t="inlineStr">
        <is>
          <t>efectivo</t>
        </is>
      </c>
    </row>
    <row r="133">
      <c r="A133" s="3" t="n">
        <v>45791</v>
      </c>
      <c r="B133" t="inlineStr">
        <is>
          <t>Juan Andres De Arco</t>
        </is>
      </c>
      <c r="C133" t="inlineStr">
        <is>
          <t>Bajaj KOO 16H</t>
        </is>
      </c>
      <c r="D133" t="inlineStr">
        <is>
          <t>KOO16H</t>
        </is>
      </c>
      <c r="H133" t="n">
        <v>240000</v>
      </c>
      <c r="I133" t="n">
        <v>240000</v>
      </c>
      <c r="J133" t="inlineStr">
        <is>
          <t>efectivo</t>
        </is>
      </c>
    </row>
    <row r="134">
      <c r="A134" s="3" t="n">
        <v>45799</v>
      </c>
      <c r="B134" t="inlineStr">
        <is>
          <t>Juan Andres De Arco</t>
        </is>
      </c>
      <c r="C134" t="inlineStr">
        <is>
          <t>Bajaj KOO 16H</t>
        </is>
      </c>
      <c r="D134" t="inlineStr">
        <is>
          <t>KOO16H</t>
        </is>
      </c>
      <c r="H134" t="n">
        <v>240000</v>
      </c>
      <c r="I134" t="n">
        <v>240000</v>
      </c>
      <c r="J134" t="inlineStr">
        <is>
          <t>efectivo</t>
        </is>
      </c>
    </row>
    <row r="135">
      <c r="A135" s="3" t="n">
        <v>45807</v>
      </c>
      <c r="B135" t="inlineStr">
        <is>
          <t>Juan Andres De Arco</t>
        </is>
      </c>
      <c r="C135" t="inlineStr">
        <is>
          <t>Bajaj KOO 16H</t>
        </is>
      </c>
      <c r="D135" t="inlineStr">
        <is>
          <t>KOO16H</t>
        </is>
      </c>
      <c r="H135" t="n">
        <v>240000</v>
      </c>
      <c r="I135" t="n">
        <v>240000</v>
      </c>
      <c r="J135" t="inlineStr">
        <is>
          <t>efectivo</t>
        </is>
      </c>
    </row>
    <row r="136">
      <c r="A136" s="3" t="n">
        <v>45818</v>
      </c>
      <c r="B136" t="inlineStr">
        <is>
          <t>Juan Andres De Arco</t>
        </is>
      </c>
      <c r="C136" t="inlineStr">
        <is>
          <t>Bajaj KOO 16H</t>
        </is>
      </c>
      <c r="D136" t="inlineStr">
        <is>
          <t>KOO16H</t>
        </is>
      </c>
      <c r="H136" t="n">
        <v>240000</v>
      </c>
      <c r="I136" t="n">
        <v>240000</v>
      </c>
      <c r="J136" t="inlineStr">
        <is>
          <t>efectivo</t>
        </is>
      </c>
    </row>
    <row r="137">
      <c r="A137" s="3" t="n">
        <v>45824</v>
      </c>
      <c r="B137" t="inlineStr">
        <is>
          <t>Juan Andres De Arco</t>
        </is>
      </c>
      <c r="C137" t="inlineStr">
        <is>
          <t>Bajaj KOO 16H</t>
        </is>
      </c>
      <c r="D137" t="inlineStr">
        <is>
          <t>KOO16H</t>
        </is>
      </c>
      <c r="H137" t="n">
        <v>240000</v>
      </c>
      <c r="I137" t="n">
        <v>240000</v>
      </c>
      <c r="J137" t="inlineStr">
        <is>
          <t>efectivo</t>
        </is>
      </c>
    </row>
    <row r="138">
      <c r="A138" s="3" t="n">
        <v>45833</v>
      </c>
      <c r="B138" t="inlineStr">
        <is>
          <t>Juan Andres De Arco</t>
        </is>
      </c>
      <c r="C138" t="inlineStr">
        <is>
          <t>Bajaj KOO 16H</t>
        </is>
      </c>
      <c r="D138" t="inlineStr">
        <is>
          <t>KOO16H</t>
        </is>
      </c>
      <c r="H138" t="n">
        <v>240000</v>
      </c>
      <c r="I138" t="n">
        <v>240000</v>
      </c>
      <c r="J138" t="inlineStr">
        <is>
          <t>efectivo</t>
        </is>
      </c>
    </row>
    <row r="139">
      <c r="A139" s="3" t="n">
        <v>45841</v>
      </c>
      <c r="B139" t="inlineStr">
        <is>
          <t>Juan Andres De Arco</t>
        </is>
      </c>
      <c r="C139" t="inlineStr">
        <is>
          <t>Bajaj KOO 16H</t>
        </is>
      </c>
      <c r="D139" t="inlineStr">
        <is>
          <t>KOO16H</t>
        </is>
      </c>
      <c r="H139" t="n">
        <v>240000</v>
      </c>
      <c r="I139" t="n">
        <v>240000</v>
      </c>
      <c r="J139" t="inlineStr">
        <is>
          <t>efectivo</t>
        </is>
      </c>
    </row>
    <row r="140">
      <c r="A140" s="3" t="n">
        <v>45848</v>
      </c>
      <c r="B140" t="inlineStr">
        <is>
          <t>Juan Andres De Arco</t>
        </is>
      </c>
      <c r="C140" t="inlineStr">
        <is>
          <t>Bajaj KOO 16H</t>
        </is>
      </c>
      <c r="D140" t="inlineStr">
        <is>
          <t>KOO16H</t>
        </is>
      </c>
      <c r="H140" t="n">
        <v>240000</v>
      </c>
      <c r="I140" t="n">
        <v>240000</v>
      </c>
      <c r="J140" t="inlineStr">
        <is>
          <t>efectivo</t>
        </is>
      </c>
    </row>
    <row r="141">
      <c r="A141" s="3" t="n">
        <v>45856</v>
      </c>
      <c r="B141" t="inlineStr">
        <is>
          <t>Juan Andres De Arco</t>
        </is>
      </c>
      <c r="C141" t="inlineStr">
        <is>
          <t>Bajaj KOO 16H</t>
        </is>
      </c>
      <c r="D141" t="inlineStr">
        <is>
          <t>KOO16H</t>
        </is>
      </c>
      <c r="H141" t="n">
        <v>240000</v>
      </c>
      <c r="I141" t="n">
        <v>240000</v>
      </c>
      <c r="J141" t="inlineStr">
        <is>
          <t>efectivo</t>
        </is>
      </c>
    </row>
    <row r="142">
      <c r="A142" s="3" t="n">
        <v>45864</v>
      </c>
      <c r="B142" t="inlineStr">
        <is>
          <t>Juan Andres De Arco</t>
        </is>
      </c>
      <c r="C142" t="inlineStr">
        <is>
          <t>Bajaj KOO 16H</t>
        </is>
      </c>
      <c r="D142" t="inlineStr">
        <is>
          <t>KOO16H</t>
        </is>
      </c>
      <c r="H142" t="n">
        <v>240000</v>
      </c>
      <c r="I142" t="n">
        <v>240000</v>
      </c>
      <c r="J142" t="inlineStr">
        <is>
          <t>efectivo</t>
        </is>
      </c>
    </row>
    <row r="143">
      <c r="A143" s="3" t="n">
        <v>45872</v>
      </c>
      <c r="B143" t="inlineStr">
        <is>
          <t>Juan Andres De Arco</t>
        </is>
      </c>
      <c r="C143" t="inlineStr">
        <is>
          <t>Bajaj KOO 16H</t>
        </is>
      </c>
      <c r="D143" t="inlineStr">
        <is>
          <t>KOO16H</t>
        </is>
      </c>
      <c r="H143" t="n">
        <v>240000</v>
      </c>
      <c r="I143" t="n">
        <v>240000</v>
      </c>
      <c r="J143" t="inlineStr">
        <is>
          <t>efectivo</t>
        </is>
      </c>
    </row>
    <row r="144">
      <c r="A144" s="3" t="n">
        <v>45880</v>
      </c>
      <c r="B144" t="inlineStr">
        <is>
          <t>Juan Andres De Arco</t>
        </is>
      </c>
      <c r="C144" t="inlineStr">
        <is>
          <t>Bajaj KOO 16H</t>
        </is>
      </c>
      <c r="D144" t="inlineStr">
        <is>
          <t>KOO16H</t>
        </is>
      </c>
      <c r="H144" t="n">
        <v>240000</v>
      </c>
      <c r="I144" t="n">
        <v>240000</v>
      </c>
      <c r="J144" t="inlineStr">
        <is>
          <t>efectivo</t>
        </is>
      </c>
    </row>
    <row r="145">
      <c r="A145" s="3" t="n">
        <v>45889</v>
      </c>
      <c r="B145" t="inlineStr">
        <is>
          <t>Juan Andres De Arco</t>
        </is>
      </c>
      <c r="C145" t="inlineStr">
        <is>
          <t>Bajaj KOO 16H</t>
        </is>
      </c>
      <c r="D145" t="inlineStr">
        <is>
          <t>KOO16H</t>
        </is>
      </c>
      <c r="H145" t="n">
        <v>240000</v>
      </c>
      <c r="I145" t="n">
        <v>240000</v>
      </c>
      <c r="J145" t="inlineStr">
        <is>
          <t>efectivo</t>
        </is>
      </c>
    </row>
    <row r="146">
      <c r="A146" s="3" t="n">
        <v>45897</v>
      </c>
      <c r="B146" t="inlineStr">
        <is>
          <t>Juan Andres De Arco</t>
        </is>
      </c>
      <c r="C146" t="inlineStr">
        <is>
          <t>Bajaj KOO 16H</t>
        </is>
      </c>
      <c r="D146" t="inlineStr">
        <is>
          <t>KOO16H</t>
        </is>
      </c>
      <c r="H146" t="n">
        <v>240000</v>
      </c>
      <c r="I146" t="n">
        <v>240000</v>
      </c>
      <c r="J146" t="inlineStr">
        <is>
          <t>efectivo</t>
        </is>
      </c>
    </row>
    <row r="147">
      <c r="A147" s="3" t="n">
        <v>45908</v>
      </c>
      <c r="B147" t="inlineStr">
        <is>
          <t>Juan Andres De Arco</t>
        </is>
      </c>
      <c r="C147" t="inlineStr">
        <is>
          <t>Bajaj KOO 16H</t>
        </is>
      </c>
      <c r="D147" t="inlineStr">
        <is>
          <t>KOO16H</t>
        </is>
      </c>
      <c r="H147" t="n">
        <v>240000</v>
      </c>
      <c r="I147" t="n">
        <v>240000</v>
      </c>
      <c r="J147" t="inlineStr">
        <is>
          <t>efectivo</t>
        </is>
      </c>
    </row>
    <row r="148">
      <c r="A148" s="3" t="n">
        <v>45913</v>
      </c>
      <c r="B148" t="inlineStr">
        <is>
          <t>Juan Andres De Arco</t>
        </is>
      </c>
      <c r="C148" t="inlineStr">
        <is>
          <t>Bajaj KOO 16H</t>
        </is>
      </c>
      <c r="D148" t="inlineStr">
        <is>
          <t>KOO16H</t>
        </is>
      </c>
      <c r="H148" t="n">
        <v>240000</v>
      </c>
      <c r="I148" t="n">
        <v>240000</v>
      </c>
      <c r="J148" t="inlineStr">
        <is>
          <t>efectivo</t>
        </is>
      </c>
    </row>
    <row r="149">
      <c r="A149" s="3" t="n">
        <v>45921</v>
      </c>
      <c r="B149" t="inlineStr">
        <is>
          <t>Juan Andres De Arco</t>
        </is>
      </c>
      <c r="C149" t="inlineStr">
        <is>
          <t>Bajaj KOO 16H</t>
        </is>
      </c>
      <c r="D149" t="inlineStr">
        <is>
          <t>KOO16H</t>
        </is>
      </c>
      <c r="H149" t="n">
        <v>240000</v>
      </c>
      <c r="I149" t="n">
        <v>240000</v>
      </c>
      <c r="J149" t="inlineStr">
        <is>
          <t>efectivo</t>
        </is>
      </c>
    </row>
    <row r="150">
      <c r="A150" s="3" t="n">
        <v>45936</v>
      </c>
      <c r="B150" t="inlineStr">
        <is>
          <t>Juan Andres De Arco</t>
        </is>
      </c>
      <c r="C150" t="inlineStr">
        <is>
          <t>Bajaj KOO 16H</t>
        </is>
      </c>
      <c r="D150" t="inlineStr">
        <is>
          <t>KOO16H</t>
        </is>
      </c>
      <c r="H150" t="n">
        <v>240000</v>
      </c>
      <c r="I150" t="n">
        <v>240000</v>
      </c>
      <c r="J150" t="inlineStr">
        <is>
          <t>efectivo</t>
        </is>
      </c>
    </row>
    <row r="151">
      <c r="A151" s="3" t="n">
        <v>45945</v>
      </c>
      <c r="B151" t="inlineStr">
        <is>
          <t>Juan Andres De Arco</t>
        </is>
      </c>
      <c r="C151" t="inlineStr">
        <is>
          <t>Bajaj KOO 16H</t>
        </is>
      </c>
      <c r="D151" t="inlineStr">
        <is>
          <t>KOO16H</t>
        </is>
      </c>
      <c r="H151" t="n">
        <v>240000</v>
      </c>
      <c r="I151" t="n">
        <v>240000</v>
      </c>
      <c r="J151" t="inlineStr">
        <is>
          <t>efectivo</t>
        </is>
      </c>
    </row>
    <row r="152">
      <c r="A152" s="3" t="n">
        <v>45953</v>
      </c>
      <c r="B152" t="inlineStr">
        <is>
          <t>Juan Andres De Arco</t>
        </is>
      </c>
      <c r="C152" t="inlineStr">
        <is>
          <t>Bajaj KOO 16H</t>
        </is>
      </c>
      <c r="D152" t="inlineStr">
        <is>
          <t>KOO16H</t>
        </is>
      </c>
      <c r="H152" t="n">
        <v>240000</v>
      </c>
      <c r="I152" t="n">
        <v>240000</v>
      </c>
      <c r="J152" t="inlineStr">
        <is>
          <t>efectivo</t>
        </is>
      </c>
    </row>
    <row r="153">
      <c r="A153" s="3" t="n">
        <v>45966</v>
      </c>
      <c r="B153" t="inlineStr">
        <is>
          <t>Juan Andres De Arco</t>
        </is>
      </c>
      <c r="C153" t="inlineStr">
        <is>
          <t>Bajaj KOO 16H</t>
        </is>
      </c>
      <c r="D153" t="inlineStr">
        <is>
          <t>KOO16H</t>
        </is>
      </c>
      <c r="H153" t="n">
        <v>240000</v>
      </c>
      <c r="I153" t="n">
        <v>240000</v>
      </c>
      <c r="J153" t="inlineStr">
        <is>
          <t>efectivo</t>
        </is>
      </c>
    </row>
    <row r="154">
      <c r="A154" s="3" t="n">
        <v>45975</v>
      </c>
      <c r="B154" t="inlineStr">
        <is>
          <t>Juan Andres De Arco</t>
        </is>
      </c>
      <c r="C154" t="inlineStr">
        <is>
          <t>Bajaj KOO 16H</t>
        </is>
      </c>
      <c r="D154" t="inlineStr">
        <is>
          <t>KOO16H</t>
        </is>
      </c>
      <c r="H154" t="n">
        <v>240000</v>
      </c>
      <c r="I154" t="n">
        <v>240000</v>
      </c>
      <c r="J154" t="inlineStr">
        <is>
          <t>efectivo</t>
        </is>
      </c>
    </row>
    <row r="155">
      <c r="A155" s="3" t="n">
        <v>45985</v>
      </c>
      <c r="B155" t="inlineStr">
        <is>
          <t>Juan Andres De Arco</t>
        </is>
      </c>
      <c r="C155" t="inlineStr">
        <is>
          <t>Bajaj KOO 16H</t>
        </is>
      </c>
      <c r="D155" t="inlineStr">
        <is>
          <t>KOO16H</t>
        </is>
      </c>
      <c r="H155" t="n">
        <v>240000</v>
      </c>
      <c r="I155" t="n">
        <v>240000</v>
      </c>
      <c r="J155" t="inlineStr">
        <is>
          <t>efectivo</t>
        </is>
      </c>
    </row>
    <row r="156">
      <c r="A156" s="3" t="n">
        <v>45993</v>
      </c>
      <c r="B156" t="inlineStr">
        <is>
          <t>Juan Andres De Arco</t>
        </is>
      </c>
      <c r="C156" t="inlineStr">
        <is>
          <t>Bajaj KOO 16H</t>
        </is>
      </c>
      <c r="D156" t="inlineStr">
        <is>
          <t>KOO16H</t>
        </is>
      </c>
      <c r="H156" t="n">
        <v>240000</v>
      </c>
      <c r="I156" t="n">
        <v>240000</v>
      </c>
      <c r="J156" t="inlineStr">
        <is>
          <t>efectivo</t>
        </is>
      </c>
    </row>
    <row r="157">
      <c r="A157" s="3" t="n">
        <v>46004</v>
      </c>
      <c r="B157" t="inlineStr">
        <is>
          <t>Juan Andres De Arco</t>
        </is>
      </c>
      <c r="C157" t="inlineStr">
        <is>
          <t>Bajaj KOO 16H</t>
        </is>
      </c>
      <c r="D157" t="inlineStr">
        <is>
          <t>KOO16H</t>
        </is>
      </c>
      <c r="H157" t="n">
        <v>240000</v>
      </c>
      <c r="I157" t="n">
        <v>240000</v>
      </c>
      <c r="J157" t="inlineStr">
        <is>
          <t>efectivo</t>
        </is>
      </c>
    </row>
    <row r="158">
      <c r="A158" s="3" t="n">
        <v>46010</v>
      </c>
      <c r="B158" t="inlineStr">
        <is>
          <t>Juan Andres De Arco</t>
        </is>
      </c>
      <c r="C158" t="inlineStr">
        <is>
          <t>Bajaj KOO 16H</t>
        </is>
      </c>
      <c r="D158" t="inlineStr">
        <is>
          <t>KOO16H</t>
        </is>
      </c>
      <c r="H158" t="n">
        <v>240000</v>
      </c>
      <c r="I158" t="n">
        <v>240000</v>
      </c>
      <c r="J158" t="inlineStr">
        <is>
          <t>efectivo</t>
        </is>
      </c>
    </row>
    <row r="159">
      <c r="A159" s="3" t="n">
        <v>46020</v>
      </c>
      <c r="B159" t="inlineStr">
        <is>
          <t>Juan Andres De Arco</t>
        </is>
      </c>
      <c r="C159" t="inlineStr">
        <is>
          <t>Bajaj KOO 16H</t>
        </is>
      </c>
      <c r="D159" t="inlineStr">
        <is>
          <t>KOO16H</t>
        </is>
      </c>
      <c r="H159" t="n">
        <v>240000</v>
      </c>
      <c r="I159" t="n">
        <v>240000</v>
      </c>
      <c r="J159" t="inlineStr">
        <is>
          <t>efectivo</t>
        </is>
      </c>
    </row>
    <row r="160">
      <c r="A160" s="3" t="n">
        <v>46035</v>
      </c>
      <c r="B160" t="inlineStr">
        <is>
          <t>Juan Andres De Arco</t>
        </is>
      </c>
      <c r="C160" t="inlineStr">
        <is>
          <t>Bajaj KOO 16H</t>
        </is>
      </c>
      <c r="D160" t="inlineStr">
        <is>
          <t>KOO16H</t>
        </is>
      </c>
      <c r="H160" t="n">
        <v>240000</v>
      </c>
      <c r="I160" t="n">
        <v>240000</v>
      </c>
      <c r="J160" t="inlineStr">
        <is>
          <t>efectivo</t>
        </is>
      </c>
    </row>
    <row r="161">
      <c r="A161" s="3" t="n">
        <v>46042</v>
      </c>
      <c r="B161" t="inlineStr">
        <is>
          <t>Juan Andres De Arco</t>
        </is>
      </c>
      <c r="C161" t="inlineStr">
        <is>
          <t>Bajaj KOO 16H</t>
        </is>
      </c>
      <c r="D161" t="inlineStr">
        <is>
          <t>KOO16H</t>
        </is>
      </c>
      <c r="H161" t="n">
        <v>240000</v>
      </c>
      <c r="I161" t="n">
        <v>240000</v>
      </c>
      <c r="J161" t="inlineStr">
        <is>
          <t>efectivo</t>
        </is>
      </c>
    </row>
    <row r="162">
      <c r="A162" s="3" t="n">
        <v>46055</v>
      </c>
      <c r="B162" t="inlineStr">
        <is>
          <t>Juan Andres De Arco</t>
        </is>
      </c>
      <c r="C162" t="inlineStr">
        <is>
          <t>Bajaj KOO 16H</t>
        </is>
      </c>
      <c r="D162" t="inlineStr">
        <is>
          <t>KOO16H</t>
        </is>
      </c>
      <c r="H162" t="n">
        <v>240000</v>
      </c>
      <c r="I162" t="n">
        <v>240000</v>
      </c>
      <c r="J162" t="inlineStr">
        <is>
          <t>efectivo</t>
        </is>
      </c>
    </row>
    <row r="163">
      <c r="A163" s="3" t="n">
        <v>46062</v>
      </c>
      <c r="B163" t="inlineStr">
        <is>
          <t>Juan Andres De Arco</t>
        </is>
      </c>
      <c r="C163" t="inlineStr">
        <is>
          <t>Bajaj KOO 16H</t>
        </is>
      </c>
      <c r="D163" t="inlineStr">
        <is>
          <t>KOO16H</t>
        </is>
      </c>
      <c r="H163" t="n">
        <v>240000</v>
      </c>
      <c r="I163" t="n">
        <v>240000</v>
      </c>
      <c r="J163" t="inlineStr">
        <is>
          <t>efectivo</t>
        </is>
      </c>
    </row>
    <row r="164">
      <c r="A164" s="3" t="n">
        <v>46068</v>
      </c>
      <c r="B164" t="inlineStr">
        <is>
          <t>Juan Andres De Arco</t>
        </is>
      </c>
      <c r="C164" t="inlineStr">
        <is>
          <t>Bajaj KOO 16H</t>
        </is>
      </c>
      <c r="D164" t="inlineStr">
        <is>
          <t>KOO16H</t>
        </is>
      </c>
      <c r="H164" t="n">
        <v>240000</v>
      </c>
      <c r="I164" t="n">
        <v>240000</v>
      </c>
      <c r="J164" t="inlineStr">
        <is>
          <t>efectivo</t>
        </is>
      </c>
    </row>
    <row r="165">
      <c r="A165" s="3" t="n">
        <v>46078</v>
      </c>
      <c r="B165" t="inlineStr">
        <is>
          <t>Juan Andres De Arco</t>
        </is>
      </c>
      <c r="C165" t="inlineStr">
        <is>
          <t>Bajaj KOO 16H</t>
        </is>
      </c>
      <c r="D165" t="inlineStr">
        <is>
          <t>KOO16H</t>
        </is>
      </c>
      <c r="H165" t="n">
        <v>240000</v>
      </c>
      <c r="I165" t="n">
        <v>240000</v>
      </c>
      <c r="J165" t="inlineStr">
        <is>
          <t>efectivo</t>
        </is>
      </c>
    </row>
    <row r="166">
      <c r="A166" s="3" t="n">
        <v>46084</v>
      </c>
      <c r="B166" t="inlineStr">
        <is>
          <t>Juan Andres De Arco</t>
        </is>
      </c>
      <c r="C166" t="inlineStr">
        <is>
          <t>Bajaj KOO 16H</t>
        </is>
      </c>
      <c r="D166" t="inlineStr">
        <is>
          <t>KOO16H</t>
        </is>
      </c>
      <c r="H166" t="n">
        <v>240000</v>
      </c>
      <c r="I166" t="n">
        <v>240000</v>
      </c>
      <c r="J166" t="inlineStr">
        <is>
          <t>efectivo</t>
        </is>
      </c>
    </row>
    <row r="167">
      <c r="A167" s="3" t="n">
        <v>46091</v>
      </c>
      <c r="B167" t="inlineStr">
        <is>
          <t>Juan Andres De Arco</t>
        </is>
      </c>
      <c r="C167" t="inlineStr">
        <is>
          <t>Bajaj KOO 16H</t>
        </is>
      </c>
      <c r="D167" t="inlineStr">
        <is>
          <t>KOO16H</t>
        </is>
      </c>
      <c r="H167" t="n">
        <v>240000</v>
      </c>
      <c r="I167" t="n">
        <v>240000</v>
      </c>
      <c r="J167" t="inlineStr">
        <is>
          <t>efectivo</t>
        </is>
      </c>
    </row>
    <row r="168">
      <c r="A168" s="3" t="n">
        <v>46098</v>
      </c>
      <c r="B168" t="inlineStr">
        <is>
          <t>Juan Andres De Arco</t>
        </is>
      </c>
      <c r="C168" t="inlineStr">
        <is>
          <t>Bajaj KOO 16H</t>
        </is>
      </c>
      <c r="D168" t="inlineStr">
        <is>
          <t>KOO16H</t>
        </is>
      </c>
      <c r="H168" t="n">
        <v>240000</v>
      </c>
      <c r="I168" t="n">
        <v>240000</v>
      </c>
      <c r="J168" t="inlineStr">
        <is>
          <t>efectivo</t>
        </is>
      </c>
    </row>
    <row r="169">
      <c r="A169" s="3" t="n">
        <v>46110</v>
      </c>
      <c r="B169" t="inlineStr">
        <is>
          <t>Juan Andres De Arco</t>
        </is>
      </c>
      <c r="C169" t="inlineStr">
        <is>
          <t>Bajaj KOO 16H</t>
        </is>
      </c>
      <c r="D169" t="inlineStr">
        <is>
          <t>KOO16H</t>
        </is>
      </c>
      <c r="H169" t="n">
        <v>240000</v>
      </c>
      <c r="I169" t="n">
        <v>240000</v>
      </c>
      <c r="J169" t="inlineStr">
        <is>
          <t>efectivo</t>
        </is>
      </c>
    </row>
    <row r="170">
      <c r="A170" s="3" t="n">
        <v>46117</v>
      </c>
      <c r="B170" t="inlineStr">
        <is>
          <t>Juan Andres De Arco</t>
        </is>
      </c>
      <c r="C170" t="inlineStr">
        <is>
          <t>Bajaj KOO 16H</t>
        </is>
      </c>
      <c r="D170" t="inlineStr">
        <is>
          <t>KOO16H</t>
        </is>
      </c>
      <c r="H170" t="n">
        <v>240000</v>
      </c>
      <c r="I170" t="n">
        <v>240000</v>
      </c>
      <c r="J170" t="inlineStr">
        <is>
          <t>efectivo</t>
        </is>
      </c>
    </row>
    <row r="171">
      <c r="A171" s="3" t="n">
        <v>46123</v>
      </c>
      <c r="B171" t="inlineStr">
        <is>
          <t>Juan Andres De Arco</t>
        </is>
      </c>
      <c r="C171" t="inlineStr">
        <is>
          <t>Bajaj KOO 16H</t>
        </is>
      </c>
      <c r="D171" t="inlineStr">
        <is>
          <t>KOO16H</t>
        </is>
      </c>
      <c r="H171" t="n">
        <v>240000</v>
      </c>
      <c r="I171" t="n">
        <v>240000</v>
      </c>
      <c r="J171" t="inlineStr">
        <is>
          <t>efectivo</t>
        </is>
      </c>
    </row>
    <row r="172">
      <c r="A172" s="3" t="n">
        <v>46132</v>
      </c>
      <c r="B172" t="inlineStr">
        <is>
          <t>Juan Andres De Arco</t>
        </is>
      </c>
      <c r="C172" t="inlineStr">
        <is>
          <t>Bajaj KOO 16H</t>
        </is>
      </c>
      <c r="D172" t="inlineStr">
        <is>
          <t>KOO16H</t>
        </is>
      </c>
      <c r="H172" t="n">
        <v>240000</v>
      </c>
      <c r="I172" t="n">
        <v>240000</v>
      </c>
      <c r="J172" t="inlineStr">
        <is>
          <t>efectivo</t>
        </is>
      </c>
    </row>
    <row r="173">
      <c r="A173" s="3" t="n">
        <v>46141</v>
      </c>
      <c r="B173" t="inlineStr">
        <is>
          <t>Juan Andres De Arco</t>
        </is>
      </c>
      <c r="C173" t="inlineStr">
        <is>
          <t>Bajaj KOO 16H</t>
        </is>
      </c>
      <c r="D173" t="inlineStr">
        <is>
          <t>KOO16H</t>
        </is>
      </c>
      <c r="H173" t="n">
        <v>240000</v>
      </c>
      <c r="I173" t="n">
        <v>240000</v>
      </c>
      <c r="J173" t="inlineStr">
        <is>
          <t>efectivo</t>
        </is>
      </c>
    </row>
    <row r="174">
      <c r="A174" s="3" t="n">
        <v>46154</v>
      </c>
      <c r="B174" t="inlineStr">
        <is>
          <t>Juan Andres De Arco</t>
        </is>
      </c>
      <c r="C174" t="inlineStr">
        <is>
          <t>Bajaj KOO 16H</t>
        </is>
      </c>
      <c r="D174" t="inlineStr">
        <is>
          <t>KOO16H</t>
        </is>
      </c>
      <c r="H174" t="n">
        <v>240000</v>
      </c>
      <c r="I174" t="n">
        <v>240000</v>
      </c>
      <c r="J174" t="inlineStr">
        <is>
          <t>efectivo</t>
        </is>
      </c>
    </row>
    <row r="175">
      <c r="A175" s="3" t="n">
        <v>46175</v>
      </c>
      <c r="B175" t="inlineStr">
        <is>
          <t>Juan Andres De Arco</t>
        </is>
      </c>
      <c r="C175" t="inlineStr">
        <is>
          <t>Bajaj KOO 16H</t>
        </is>
      </c>
      <c r="D175" t="inlineStr">
        <is>
          <t>KOO16H</t>
        </is>
      </c>
      <c r="H175" t="n">
        <v>240000</v>
      </c>
      <c r="I175" t="n">
        <v>240000</v>
      </c>
      <c r="J175" t="inlineStr">
        <is>
          <t>efectivo</t>
        </is>
      </c>
    </row>
    <row r="176">
      <c r="A176" s="3" t="n">
        <v>46182</v>
      </c>
      <c r="B176" t="inlineStr">
        <is>
          <t>Juan Andres De Arco</t>
        </is>
      </c>
      <c r="C176" t="inlineStr">
        <is>
          <t>Bajaj KOO 16H</t>
        </is>
      </c>
      <c r="D176" t="inlineStr">
        <is>
          <t>KOO16H</t>
        </is>
      </c>
      <c r="H176" t="n">
        <v>240000</v>
      </c>
      <c r="I176" t="n">
        <v>240000</v>
      </c>
      <c r="J176" t="inlineStr">
        <is>
          <t>efectivo</t>
        </is>
      </c>
    </row>
    <row r="177">
      <c r="A177" s="3" t="n">
        <v>46195</v>
      </c>
      <c r="B177" t="inlineStr">
        <is>
          <t>Juan Andres De Arco</t>
        </is>
      </c>
      <c r="C177" t="inlineStr">
        <is>
          <t>Bajaj KOO 16H</t>
        </is>
      </c>
      <c r="D177" t="inlineStr">
        <is>
          <t>KOO16H</t>
        </is>
      </c>
      <c r="H177" t="n">
        <v>240000</v>
      </c>
      <c r="I177" t="n">
        <v>240000</v>
      </c>
      <c r="J177" t="inlineStr">
        <is>
          <t>efectivo</t>
        </is>
      </c>
    </row>
    <row r="178">
      <c r="A178" s="3" t="n">
        <v>46211</v>
      </c>
      <c r="B178" t="inlineStr">
        <is>
          <t>Juan Andres De Arco</t>
        </is>
      </c>
      <c r="C178" t="inlineStr">
        <is>
          <t>Bajaj KOO 16H</t>
        </is>
      </c>
      <c r="D178" t="inlineStr">
        <is>
          <t>KOO16H</t>
        </is>
      </c>
      <c r="H178" t="n">
        <v>240000</v>
      </c>
      <c r="I178" t="n">
        <v>240000</v>
      </c>
      <c r="J178" t="inlineStr">
        <is>
          <t>efectivo</t>
        </is>
      </c>
    </row>
    <row r="179">
      <c r="A179" s="3" t="n">
        <v>46225</v>
      </c>
      <c r="B179" t="inlineStr">
        <is>
          <t>Juan Andres De Arco</t>
        </is>
      </c>
      <c r="C179" t="inlineStr">
        <is>
          <t>Bajaj KOO 16H</t>
        </is>
      </c>
      <c r="D179" t="inlineStr">
        <is>
          <t>KOO16H</t>
        </is>
      </c>
      <c r="H179" t="n">
        <v>240000</v>
      </c>
      <c r="I179" t="n">
        <v>240000</v>
      </c>
      <c r="J179" t="inlineStr">
        <is>
          <t>efectivo</t>
        </is>
      </c>
    </row>
    <row r="180">
      <c r="A180" s="3" t="n">
        <v>45667</v>
      </c>
      <c r="B180" t="inlineStr">
        <is>
          <t>Jorge Luis Reyes</t>
        </is>
      </c>
      <c r="C180" t="inlineStr">
        <is>
          <t>Bajaj KOO B1H</t>
        </is>
      </c>
      <c r="D180" t="inlineStr">
        <is>
          <t>KOOB1H</t>
        </is>
      </c>
      <c r="H180" t="n">
        <v>240000</v>
      </c>
      <c r="I180" t="n">
        <v>240000</v>
      </c>
      <c r="J180" t="inlineStr">
        <is>
          <t>efectivo</t>
        </is>
      </c>
    </row>
    <row r="181">
      <c r="A181" s="3" t="n">
        <v>45675</v>
      </c>
      <c r="B181" t="inlineStr">
        <is>
          <t>Jorge Luis Reyes</t>
        </is>
      </c>
      <c r="C181" t="inlineStr">
        <is>
          <t>Bajaj KOO B1H</t>
        </is>
      </c>
      <c r="D181" t="inlineStr">
        <is>
          <t>KOOB1H</t>
        </is>
      </c>
      <c r="H181" t="n">
        <v>240000</v>
      </c>
      <c r="I181" t="n">
        <v>240000</v>
      </c>
      <c r="J181" t="inlineStr">
        <is>
          <t>efectivo</t>
        </is>
      </c>
    </row>
    <row r="182">
      <c r="A182" s="3" t="n">
        <v>45683</v>
      </c>
      <c r="B182" t="inlineStr">
        <is>
          <t>Jorge Luis Reyes</t>
        </is>
      </c>
      <c r="C182" t="inlineStr">
        <is>
          <t>Bajaj KOO B1H</t>
        </is>
      </c>
      <c r="D182" t="inlineStr">
        <is>
          <t>KOOB1H</t>
        </is>
      </c>
      <c r="H182" t="n">
        <v>240000</v>
      </c>
      <c r="I182" t="n">
        <v>240000</v>
      </c>
      <c r="J182" t="inlineStr">
        <is>
          <t>efectivo</t>
        </is>
      </c>
    </row>
    <row r="183">
      <c r="A183" s="3" t="n">
        <v>45691</v>
      </c>
      <c r="B183" t="inlineStr">
        <is>
          <t>Jorge Luis Reyes</t>
        </is>
      </c>
      <c r="C183" t="inlineStr">
        <is>
          <t>Bajaj KOO B1H</t>
        </is>
      </c>
      <c r="D183" t="inlineStr">
        <is>
          <t>KOOB1H</t>
        </is>
      </c>
      <c r="H183" t="n">
        <v>240000</v>
      </c>
      <c r="I183" t="n">
        <v>240000</v>
      </c>
      <c r="J183" t="inlineStr">
        <is>
          <t>efectivo</t>
        </is>
      </c>
    </row>
    <row r="184">
      <c r="A184" s="3" t="n">
        <v>45700</v>
      </c>
      <c r="B184" t="inlineStr">
        <is>
          <t>Jorge Luis Reyes</t>
        </is>
      </c>
      <c r="C184" t="inlineStr">
        <is>
          <t>Bajaj KOO B1H</t>
        </is>
      </c>
      <c r="D184" t="inlineStr">
        <is>
          <t>KOOB1H</t>
        </is>
      </c>
      <c r="H184" t="n">
        <v>240000</v>
      </c>
      <c r="I184" t="n">
        <v>240000</v>
      </c>
      <c r="J184" t="inlineStr">
        <is>
          <t>efectivo</t>
        </is>
      </c>
    </row>
    <row r="185">
      <c r="A185" s="3" t="n">
        <v>45708</v>
      </c>
      <c r="B185" t="inlineStr">
        <is>
          <t>Jorge Luis Reyes</t>
        </is>
      </c>
      <c r="C185" t="inlineStr">
        <is>
          <t>Bajaj KOO B1H</t>
        </is>
      </c>
      <c r="D185" t="inlineStr">
        <is>
          <t>KOOB1H</t>
        </is>
      </c>
      <c r="H185" t="n">
        <v>240000</v>
      </c>
      <c r="I185" t="n">
        <v>240000</v>
      </c>
      <c r="J185" t="inlineStr">
        <is>
          <t>efectivo</t>
        </is>
      </c>
    </row>
    <row r="186">
      <c r="A186" s="3" t="n">
        <v>45716</v>
      </c>
      <c r="B186" t="inlineStr">
        <is>
          <t>Jorge Luis Reyes</t>
        </is>
      </c>
      <c r="C186" t="inlineStr">
        <is>
          <t>Bajaj KOO B1H</t>
        </is>
      </c>
      <c r="D186" t="inlineStr">
        <is>
          <t>KOOB1H</t>
        </is>
      </c>
      <c r="H186" t="n">
        <v>240000</v>
      </c>
      <c r="I186" t="n">
        <v>240000</v>
      </c>
      <c r="J186" t="inlineStr">
        <is>
          <t>efectivo</t>
        </is>
      </c>
    </row>
    <row r="187">
      <c r="A187" s="3" t="n">
        <v>45724</v>
      </c>
      <c r="B187" t="inlineStr">
        <is>
          <t>Jorge Luis Reyes</t>
        </is>
      </c>
      <c r="C187" t="inlineStr">
        <is>
          <t>Bajaj KOO B1H</t>
        </is>
      </c>
      <c r="D187" t="inlineStr">
        <is>
          <t>KOOB1H</t>
        </is>
      </c>
      <c r="H187" t="n">
        <v>240000</v>
      </c>
      <c r="I187" t="n">
        <v>240000</v>
      </c>
      <c r="J187" t="inlineStr">
        <is>
          <t>efectivo</t>
        </is>
      </c>
    </row>
    <row r="188">
      <c r="A188" s="3" t="n">
        <v>45732</v>
      </c>
      <c r="B188" t="inlineStr">
        <is>
          <t>Jorge Luis Reyes</t>
        </is>
      </c>
      <c r="C188" t="inlineStr">
        <is>
          <t>Bajaj KOO B1H</t>
        </is>
      </c>
      <c r="D188" t="inlineStr">
        <is>
          <t>KOOB1H</t>
        </is>
      </c>
      <c r="H188" t="n">
        <v>240000</v>
      </c>
      <c r="I188" t="n">
        <v>240000</v>
      </c>
      <c r="J188" t="inlineStr">
        <is>
          <t>efectivo</t>
        </is>
      </c>
    </row>
    <row r="189">
      <c r="A189" s="3" t="n">
        <v>45743</v>
      </c>
      <c r="B189" t="inlineStr">
        <is>
          <t>Jorge Luis Reyes</t>
        </is>
      </c>
      <c r="C189" t="inlineStr">
        <is>
          <t>Bajaj KOO B1H</t>
        </is>
      </c>
      <c r="D189" t="inlineStr">
        <is>
          <t>KOOB1H</t>
        </is>
      </c>
      <c r="H189" t="n">
        <v>240000</v>
      </c>
      <c r="I189" t="n">
        <v>240000</v>
      </c>
      <c r="J189" t="inlineStr">
        <is>
          <t>efectivo</t>
        </is>
      </c>
    </row>
    <row r="190">
      <c r="A190" s="3" t="n">
        <v>45748</v>
      </c>
      <c r="B190" t="inlineStr">
        <is>
          <t>Jorge Luis Reyes</t>
        </is>
      </c>
      <c r="C190" t="inlineStr">
        <is>
          <t>Bajaj KOO B1H</t>
        </is>
      </c>
      <c r="D190" t="inlineStr">
        <is>
          <t>KOOB1H</t>
        </is>
      </c>
      <c r="H190" t="n">
        <v>240000</v>
      </c>
      <c r="I190" t="n">
        <v>240000</v>
      </c>
      <c r="J190" t="inlineStr">
        <is>
          <t>efectivo</t>
        </is>
      </c>
    </row>
    <row r="191">
      <c r="A191" s="3" t="n">
        <v>45756</v>
      </c>
      <c r="B191" t="inlineStr">
        <is>
          <t>Jorge Luis Reyes</t>
        </is>
      </c>
      <c r="C191" t="inlineStr">
        <is>
          <t>Bajaj KOO B1H</t>
        </is>
      </c>
      <c r="D191" t="inlineStr">
        <is>
          <t>KOOB1H</t>
        </is>
      </c>
      <c r="H191" t="n">
        <v>240000</v>
      </c>
      <c r="I191" t="n">
        <v>240000</v>
      </c>
      <c r="J191" t="inlineStr">
        <is>
          <t>efectivo</t>
        </is>
      </c>
    </row>
    <row r="192">
      <c r="A192" s="3" t="n">
        <v>45764</v>
      </c>
      <c r="B192" t="inlineStr">
        <is>
          <t>Jorge Luis Reyes</t>
        </is>
      </c>
      <c r="C192" t="inlineStr">
        <is>
          <t>Bajaj KOO B1H</t>
        </is>
      </c>
      <c r="D192" t="inlineStr">
        <is>
          <t>KOOB1H</t>
        </is>
      </c>
      <c r="H192" t="n">
        <v>240000</v>
      </c>
      <c r="I192" t="n">
        <v>240000</v>
      </c>
      <c r="J192" t="inlineStr">
        <is>
          <t>efectivo</t>
        </is>
      </c>
    </row>
    <row r="193">
      <c r="A193" s="3" t="n">
        <v>45772</v>
      </c>
      <c r="B193" t="inlineStr">
        <is>
          <t>Jorge Luis Reyes</t>
        </is>
      </c>
      <c r="C193" t="inlineStr">
        <is>
          <t>Bajaj KOO B1H</t>
        </is>
      </c>
      <c r="D193" t="inlineStr">
        <is>
          <t>KOOB1H</t>
        </is>
      </c>
      <c r="H193" t="n">
        <v>240000</v>
      </c>
      <c r="I193" t="n">
        <v>240000</v>
      </c>
      <c r="J193" t="inlineStr">
        <is>
          <t>efectivo</t>
        </is>
      </c>
    </row>
    <row r="194">
      <c r="A194" s="3" t="n">
        <v>45780</v>
      </c>
      <c r="B194" t="inlineStr">
        <is>
          <t>Jorge Luis Reyes</t>
        </is>
      </c>
      <c r="C194" t="inlineStr">
        <is>
          <t>Bajaj KOO B1H</t>
        </is>
      </c>
      <c r="D194" t="inlineStr">
        <is>
          <t>KOOB1H</t>
        </is>
      </c>
      <c r="H194" t="n">
        <v>240000</v>
      </c>
      <c r="I194" t="n">
        <v>240000</v>
      </c>
      <c r="J194" t="inlineStr">
        <is>
          <t>efectivo</t>
        </is>
      </c>
    </row>
    <row r="195">
      <c r="A195" s="3" t="n">
        <v>45788</v>
      </c>
      <c r="B195" t="inlineStr">
        <is>
          <t>Jorge Luis Reyes</t>
        </is>
      </c>
      <c r="C195" t="inlineStr">
        <is>
          <t>Bajaj KOO B1H</t>
        </is>
      </c>
      <c r="D195" t="inlineStr">
        <is>
          <t>KOOB1H</t>
        </is>
      </c>
      <c r="H195" t="n">
        <v>240000</v>
      </c>
      <c r="I195" t="n">
        <v>240000</v>
      </c>
      <c r="J195" t="inlineStr">
        <is>
          <t>efectivo</t>
        </is>
      </c>
    </row>
    <row r="196">
      <c r="A196" s="3" t="n">
        <v>45794</v>
      </c>
      <c r="B196" t="inlineStr">
        <is>
          <t>Jorge Luis Reyes</t>
        </is>
      </c>
      <c r="C196" t="inlineStr">
        <is>
          <t>Bajaj KOO B1H</t>
        </is>
      </c>
      <c r="D196" t="inlineStr">
        <is>
          <t>KOOB1H</t>
        </is>
      </c>
      <c r="H196" t="n">
        <v>240000</v>
      </c>
      <c r="I196" t="n">
        <v>240000</v>
      </c>
      <c r="J196" t="inlineStr">
        <is>
          <t>efectivo</t>
        </is>
      </c>
    </row>
    <row r="197">
      <c r="A197" s="3" t="n">
        <v>45799</v>
      </c>
      <c r="B197" t="inlineStr">
        <is>
          <t>Jorge Luis Reyes</t>
        </is>
      </c>
      <c r="C197" t="inlineStr">
        <is>
          <t>Bajaj KOO B1H</t>
        </is>
      </c>
      <c r="D197" t="inlineStr">
        <is>
          <t>KOOB1H</t>
        </is>
      </c>
      <c r="H197" t="n">
        <v>240000</v>
      </c>
      <c r="I197" t="n">
        <v>240000</v>
      </c>
      <c r="J197" t="inlineStr">
        <is>
          <t>efectivo</t>
        </is>
      </c>
    </row>
    <row r="198">
      <c r="A198" s="3" t="n">
        <v>45812</v>
      </c>
      <c r="B198" t="inlineStr">
        <is>
          <t>Jorge Luis Reyes</t>
        </is>
      </c>
      <c r="C198" t="inlineStr">
        <is>
          <t>Bajaj KOO B1H</t>
        </is>
      </c>
      <c r="D198" t="inlineStr">
        <is>
          <t>KOOB1H</t>
        </is>
      </c>
      <c r="H198" t="n">
        <v>240000</v>
      </c>
      <c r="I198" t="n">
        <v>240000</v>
      </c>
      <c r="J198" t="inlineStr">
        <is>
          <t>efectivo</t>
        </is>
      </c>
    </row>
    <row r="199">
      <c r="A199" s="3" t="n">
        <v>45820</v>
      </c>
      <c r="B199" t="inlineStr">
        <is>
          <t>Jorge Luis Reyes</t>
        </is>
      </c>
      <c r="C199" t="inlineStr">
        <is>
          <t>Bajaj KOO B1H</t>
        </is>
      </c>
      <c r="D199" t="inlineStr">
        <is>
          <t>KOOB1H</t>
        </is>
      </c>
      <c r="H199" t="n">
        <v>240000</v>
      </c>
      <c r="I199" t="n">
        <v>240000</v>
      </c>
      <c r="J199" t="inlineStr">
        <is>
          <t>efectivo</t>
        </is>
      </c>
    </row>
    <row r="200">
      <c r="A200" s="3" t="n">
        <v>45828</v>
      </c>
      <c r="B200" t="inlineStr">
        <is>
          <t>Jorge Luis Reyes</t>
        </is>
      </c>
      <c r="C200" t="inlineStr">
        <is>
          <t>Bajaj KOO B1H</t>
        </is>
      </c>
      <c r="D200" t="inlineStr">
        <is>
          <t>KOOB1H</t>
        </is>
      </c>
      <c r="H200" t="n">
        <v>240000</v>
      </c>
      <c r="I200" t="n">
        <v>240000</v>
      </c>
      <c r="J200" t="inlineStr">
        <is>
          <t>efectivo</t>
        </is>
      </c>
    </row>
    <row r="201">
      <c r="A201" s="3" t="n">
        <v>45836</v>
      </c>
      <c r="B201" t="inlineStr">
        <is>
          <t>Jorge Luis Reyes</t>
        </is>
      </c>
      <c r="C201" t="inlineStr">
        <is>
          <t>Bajaj KOO B1H</t>
        </is>
      </c>
      <c r="D201" t="inlineStr">
        <is>
          <t>KOOB1H</t>
        </is>
      </c>
      <c r="H201" t="n">
        <v>240000</v>
      </c>
      <c r="I201" t="n">
        <v>240000</v>
      </c>
      <c r="J201" t="inlineStr">
        <is>
          <t>efectivo</t>
        </is>
      </c>
    </row>
    <row r="202">
      <c r="A202" s="3" t="n">
        <v>45844</v>
      </c>
      <c r="B202" t="inlineStr">
        <is>
          <t>Jorge Luis Reyes</t>
        </is>
      </c>
      <c r="C202" t="inlineStr">
        <is>
          <t>Bajaj KOO B1H</t>
        </is>
      </c>
      <c r="D202" t="inlineStr">
        <is>
          <t>KOOB1H</t>
        </is>
      </c>
      <c r="H202" t="n">
        <v>240000</v>
      </c>
      <c r="I202" t="n">
        <v>240000</v>
      </c>
      <c r="J202" t="inlineStr">
        <is>
          <t>efectivo</t>
        </is>
      </c>
    </row>
    <row r="203">
      <c r="A203" s="3" t="n">
        <v>45852</v>
      </c>
      <c r="B203" t="inlineStr">
        <is>
          <t>Jorge Luis Reyes</t>
        </is>
      </c>
      <c r="C203" t="inlineStr">
        <is>
          <t>Bajaj KOO B1H</t>
        </is>
      </c>
      <c r="D203" t="inlineStr">
        <is>
          <t>KOOB1H</t>
        </is>
      </c>
      <c r="H203" t="n">
        <v>240000</v>
      </c>
      <c r="I203" t="n">
        <v>240000</v>
      </c>
      <c r="J203" t="inlineStr">
        <is>
          <t>efectivo</t>
        </is>
      </c>
    </row>
    <row r="204">
      <c r="A204" s="3" t="n">
        <v>45860</v>
      </c>
      <c r="B204" t="inlineStr">
        <is>
          <t>Jorge Luis Reyes</t>
        </is>
      </c>
      <c r="C204" t="inlineStr">
        <is>
          <t>Bajaj KOO B1H</t>
        </is>
      </c>
      <c r="D204" t="inlineStr">
        <is>
          <t>KOOB1H</t>
        </is>
      </c>
      <c r="H204" t="n">
        <v>240000</v>
      </c>
      <c r="I204" t="n">
        <v>240000</v>
      </c>
      <c r="J204" t="inlineStr">
        <is>
          <t>efectivo</t>
        </is>
      </c>
    </row>
    <row r="205">
      <c r="A205" s="3" t="n">
        <v>45868</v>
      </c>
      <c r="B205" t="inlineStr">
        <is>
          <t>Jorge Luis Reyes</t>
        </is>
      </c>
      <c r="C205" t="inlineStr">
        <is>
          <t>Bajaj KOO B1H</t>
        </is>
      </c>
      <c r="D205" t="inlineStr">
        <is>
          <t>KOOB1H</t>
        </is>
      </c>
      <c r="H205" t="n">
        <v>240000</v>
      </c>
      <c r="I205" t="n">
        <v>240000</v>
      </c>
      <c r="J205" t="inlineStr">
        <is>
          <t>efectivo</t>
        </is>
      </c>
    </row>
    <row r="206">
      <c r="A206" s="3" t="n">
        <v>45876</v>
      </c>
      <c r="B206" t="inlineStr">
        <is>
          <t>Jorge Luis Reyes</t>
        </is>
      </c>
      <c r="C206" t="inlineStr">
        <is>
          <t>Bajaj KOO B1H</t>
        </is>
      </c>
      <c r="D206" t="inlineStr">
        <is>
          <t>KOOB1H</t>
        </is>
      </c>
      <c r="H206" t="n">
        <v>240000</v>
      </c>
      <c r="I206" t="n">
        <v>240000</v>
      </c>
      <c r="J206" t="inlineStr">
        <is>
          <t>efectivo</t>
        </is>
      </c>
    </row>
    <row r="207">
      <c r="A207" s="3" t="n">
        <v>45884</v>
      </c>
      <c r="B207" t="inlineStr">
        <is>
          <t>Jorge Luis Reyes</t>
        </is>
      </c>
      <c r="C207" t="inlineStr">
        <is>
          <t>Bajaj KOO B1H</t>
        </is>
      </c>
      <c r="D207" t="inlineStr">
        <is>
          <t>KOOB1H</t>
        </is>
      </c>
      <c r="H207" t="n">
        <v>240000</v>
      </c>
      <c r="I207" t="n">
        <v>240000</v>
      </c>
      <c r="J207" t="inlineStr">
        <is>
          <t>efectivo</t>
        </is>
      </c>
    </row>
    <row r="208">
      <c r="A208" s="3" t="n">
        <v>45892</v>
      </c>
      <c r="B208" t="inlineStr">
        <is>
          <t>Jorge Luis Reyes</t>
        </is>
      </c>
      <c r="C208" t="inlineStr">
        <is>
          <t>Bajaj KOO B1H</t>
        </is>
      </c>
      <c r="D208" t="inlineStr">
        <is>
          <t>KOOB1H</t>
        </is>
      </c>
      <c r="H208" t="n">
        <v>240000</v>
      </c>
      <c r="I208" t="n">
        <v>240000</v>
      </c>
      <c r="J208" t="inlineStr">
        <is>
          <t>efectivo</t>
        </is>
      </c>
    </row>
    <row r="209">
      <c r="A209" s="3" t="n">
        <v>45900</v>
      </c>
      <c r="B209" t="inlineStr">
        <is>
          <t>Jorge Luis Reyes</t>
        </is>
      </c>
      <c r="C209" t="inlineStr">
        <is>
          <t>Bajaj KOO B1H</t>
        </is>
      </c>
      <c r="D209" t="inlineStr">
        <is>
          <t>KOOB1H</t>
        </is>
      </c>
      <c r="H209" t="n">
        <v>240000</v>
      </c>
      <c r="I209" t="n">
        <v>240000</v>
      </c>
      <c r="J209" t="inlineStr">
        <is>
          <t>efectivo</t>
        </is>
      </c>
    </row>
    <row r="210">
      <c r="A210" s="3" t="n">
        <v>45908</v>
      </c>
      <c r="B210" t="inlineStr">
        <is>
          <t>Jorge Luis Reyes</t>
        </is>
      </c>
      <c r="C210" t="inlineStr">
        <is>
          <t>Bajaj KOO B1H</t>
        </is>
      </c>
      <c r="D210" t="inlineStr">
        <is>
          <t>KOOB1H</t>
        </is>
      </c>
      <c r="H210" t="n">
        <v>240000</v>
      </c>
      <c r="I210" t="n">
        <v>240000</v>
      </c>
      <c r="J210" t="inlineStr">
        <is>
          <t>efectivo</t>
        </is>
      </c>
    </row>
    <row r="211">
      <c r="A211" s="3" t="n">
        <v>45916</v>
      </c>
      <c r="B211" t="inlineStr">
        <is>
          <t>Jorge Luis Reyes</t>
        </is>
      </c>
      <c r="C211" t="inlineStr">
        <is>
          <t>Bajaj KOO B1H</t>
        </is>
      </c>
      <c r="D211" t="inlineStr">
        <is>
          <t>KOOB1H</t>
        </is>
      </c>
      <c r="H211" t="n">
        <v>240000</v>
      </c>
      <c r="I211" t="n">
        <v>240000</v>
      </c>
      <c r="J211" t="inlineStr">
        <is>
          <t>efectivo</t>
        </is>
      </c>
    </row>
    <row r="212">
      <c r="A212" s="3" t="n">
        <v>45924</v>
      </c>
      <c r="B212" t="inlineStr">
        <is>
          <t>Jorge Luis Reyes</t>
        </is>
      </c>
      <c r="C212" t="inlineStr">
        <is>
          <t>Bajaj KOO B1H</t>
        </is>
      </c>
      <c r="D212" t="inlineStr">
        <is>
          <t>KOOB1H</t>
        </is>
      </c>
      <c r="H212" t="n">
        <v>240000</v>
      </c>
      <c r="I212" t="n">
        <v>240000</v>
      </c>
      <c r="J212" t="inlineStr">
        <is>
          <t>efectivo</t>
        </is>
      </c>
    </row>
    <row r="213">
      <c r="A213" s="3" t="n">
        <v>45931</v>
      </c>
      <c r="B213" t="inlineStr">
        <is>
          <t>Jorge Luis Reyes</t>
        </is>
      </c>
      <c r="C213" t="inlineStr">
        <is>
          <t>Bajaj KOO B1H</t>
        </is>
      </c>
      <c r="D213" t="inlineStr">
        <is>
          <t>KOOB1H</t>
        </is>
      </c>
      <c r="H213" t="n">
        <v>240000</v>
      </c>
      <c r="I213" t="n">
        <v>240000</v>
      </c>
      <c r="J213" t="inlineStr">
        <is>
          <t>efectivo</t>
        </is>
      </c>
    </row>
    <row r="214">
      <c r="A214" s="3" t="n">
        <v>45938</v>
      </c>
      <c r="B214" t="inlineStr">
        <is>
          <t>Jorge Luis Reyes</t>
        </is>
      </c>
      <c r="C214" t="inlineStr">
        <is>
          <t>Bajaj KOO B1H</t>
        </is>
      </c>
      <c r="D214" t="inlineStr">
        <is>
          <t>KOOB1H</t>
        </is>
      </c>
      <c r="H214" t="n">
        <v>240000</v>
      </c>
      <c r="I214" t="n">
        <v>240000</v>
      </c>
      <c r="J214" t="inlineStr">
        <is>
          <t>efectivo</t>
        </is>
      </c>
    </row>
    <row r="215">
      <c r="A215" s="3" t="n">
        <v>45946</v>
      </c>
      <c r="B215" t="inlineStr">
        <is>
          <t>Jorge Luis Reyes</t>
        </is>
      </c>
      <c r="C215" t="inlineStr">
        <is>
          <t>Bajaj KOO B1H</t>
        </is>
      </c>
      <c r="D215" t="inlineStr">
        <is>
          <t>KOOB1H</t>
        </is>
      </c>
      <c r="H215" t="n">
        <v>240000</v>
      </c>
      <c r="I215" t="n">
        <v>240000</v>
      </c>
      <c r="J215" t="inlineStr">
        <is>
          <t>efectivo</t>
        </is>
      </c>
    </row>
    <row r="216">
      <c r="A216" s="3" t="n">
        <v>45954</v>
      </c>
      <c r="B216" t="inlineStr">
        <is>
          <t>Jorge Luis Reyes</t>
        </is>
      </c>
      <c r="C216" t="inlineStr">
        <is>
          <t>Bajaj KOO B1H</t>
        </is>
      </c>
      <c r="D216" t="inlineStr">
        <is>
          <t>KOOB1H</t>
        </is>
      </c>
      <c r="H216" t="n">
        <v>240000</v>
      </c>
      <c r="I216" t="n">
        <v>240000</v>
      </c>
      <c r="J216" t="inlineStr">
        <is>
          <t>efectivo</t>
        </is>
      </c>
    </row>
    <row r="217">
      <c r="A217" s="3" t="n">
        <v>45962</v>
      </c>
      <c r="B217" t="inlineStr">
        <is>
          <t>Jorge Luis Reyes</t>
        </is>
      </c>
      <c r="C217" t="inlineStr">
        <is>
          <t>Bajaj KOO B1H</t>
        </is>
      </c>
      <c r="D217" t="inlineStr">
        <is>
          <t>KOOB1H</t>
        </is>
      </c>
      <c r="H217" t="n">
        <v>240000</v>
      </c>
      <c r="I217" t="n">
        <v>240000</v>
      </c>
      <c r="J217" t="inlineStr">
        <is>
          <t>efectivo</t>
        </is>
      </c>
    </row>
    <row r="218">
      <c r="A218" s="3" t="n">
        <v>45970</v>
      </c>
      <c r="B218" t="inlineStr">
        <is>
          <t>Jorge Luis Reyes</t>
        </is>
      </c>
      <c r="C218" t="inlineStr">
        <is>
          <t>Bajaj KOO B1H</t>
        </is>
      </c>
      <c r="D218" t="inlineStr">
        <is>
          <t>KOOB1H</t>
        </is>
      </c>
      <c r="H218" t="n">
        <v>240000</v>
      </c>
      <c r="I218" t="n">
        <v>240000</v>
      </c>
      <c r="J218" t="inlineStr">
        <is>
          <t>efectivo</t>
        </is>
      </c>
    </row>
    <row r="219">
      <c r="A219" s="3" t="n">
        <v>45978</v>
      </c>
      <c r="B219" t="inlineStr">
        <is>
          <t>Jorge Luis Reyes</t>
        </is>
      </c>
      <c r="C219" t="inlineStr">
        <is>
          <t>Bajaj KOO B1H</t>
        </is>
      </c>
      <c r="D219" t="inlineStr">
        <is>
          <t>KOOB1H</t>
        </is>
      </c>
      <c r="H219" t="n">
        <v>240000</v>
      </c>
      <c r="I219" t="n">
        <v>240000</v>
      </c>
      <c r="J219" t="inlineStr">
        <is>
          <t>efectivo</t>
        </is>
      </c>
    </row>
    <row r="220">
      <c r="A220" s="3" t="n">
        <v>45986</v>
      </c>
      <c r="B220" t="inlineStr">
        <is>
          <t>Jorge Luis Reyes</t>
        </is>
      </c>
      <c r="C220" t="inlineStr">
        <is>
          <t>Bajaj KOO B1H</t>
        </is>
      </c>
      <c r="D220" t="inlineStr">
        <is>
          <t>KOOB1H</t>
        </is>
      </c>
      <c r="H220" t="n">
        <v>240000</v>
      </c>
      <c r="I220" t="n">
        <v>240000</v>
      </c>
      <c r="J220" t="inlineStr">
        <is>
          <t>efectivo</t>
        </is>
      </c>
    </row>
    <row r="221">
      <c r="A221" s="3" t="n">
        <v>45994</v>
      </c>
      <c r="B221" t="inlineStr">
        <is>
          <t>Jorge Luis Reyes</t>
        </is>
      </c>
      <c r="C221" t="inlineStr">
        <is>
          <t>Bajaj KOO B1H</t>
        </is>
      </c>
      <c r="D221" t="inlineStr">
        <is>
          <t>KOOB1H</t>
        </is>
      </c>
      <c r="H221" t="n">
        <v>240000</v>
      </c>
      <c r="I221" t="n">
        <v>240000</v>
      </c>
      <c r="J221" t="inlineStr">
        <is>
          <t>efectivo</t>
        </is>
      </c>
    </row>
    <row r="222">
      <c r="A222" s="3" t="n">
        <v>46002</v>
      </c>
      <c r="B222" t="inlineStr">
        <is>
          <t>Jorge Luis Reyes</t>
        </is>
      </c>
      <c r="C222" t="inlineStr">
        <is>
          <t>Bajaj KOO B1H</t>
        </is>
      </c>
      <c r="D222" t="inlineStr">
        <is>
          <t>KOOB1H</t>
        </is>
      </c>
      <c r="H222" t="n">
        <v>240000</v>
      </c>
      <c r="I222" t="n">
        <v>240000</v>
      </c>
      <c r="J222" t="inlineStr">
        <is>
          <t>efectivo</t>
        </is>
      </c>
    </row>
    <row r="223">
      <c r="A223" s="3" t="n">
        <v>46009</v>
      </c>
      <c r="B223" t="inlineStr">
        <is>
          <t>Jorge Luis Reyes</t>
        </is>
      </c>
      <c r="C223" t="inlineStr">
        <is>
          <t>Bajaj KOO B1H</t>
        </is>
      </c>
      <c r="D223" t="inlineStr">
        <is>
          <t>KOOB1H</t>
        </is>
      </c>
      <c r="H223" t="n">
        <v>240000</v>
      </c>
      <c r="I223" t="n">
        <v>240000</v>
      </c>
      <c r="J223" t="inlineStr">
        <is>
          <t>efectivo</t>
        </is>
      </c>
    </row>
    <row r="224">
      <c r="A224" s="3" t="n">
        <v>46018</v>
      </c>
      <c r="B224" t="inlineStr">
        <is>
          <t>Jorge Luis Reyes</t>
        </is>
      </c>
      <c r="C224" t="inlineStr">
        <is>
          <t>Bajaj KOO B1H</t>
        </is>
      </c>
      <c r="D224" t="inlineStr">
        <is>
          <t>KOOB1H</t>
        </is>
      </c>
      <c r="H224" t="n">
        <v>240000</v>
      </c>
      <c r="I224" t="n">
        <v>240000</v>
      </c>
      <c r="J224" t="inlineStr">
        <is>
          <t>efectivo</t>
        </is>
      </c>
    </row>
    <row r="225">
      <c r="A225" s="3" t="n">
        <v>46031</v>
      </c>
      <c r="B225" t="inlineStr">
        <is>
          <t>Jorge Luis Reyes</t>
        </is>
      </c>
      <c r="C225" t="inlineStr">
        <is>
          <t>Bajaj KOO B1H</t>
        </is>
      </c>
      <c r="D225" t="inlineStr">
        <is>
          <t>KOOB1H</t>
        </is>
      </c>
      <c r="H225" t="n">
        <v>240000</v>
      </c>
      <c r="I225" t="n">
        <v>240000</v>
      </c>
      <c r="J225" t="inlineStr">
        <is>
          <t>efectivo</t>
        </is>
      </c>
    </row>
    <row r="226">
      <c r="A226" s="3" t="n">
        <v>46039</v>
      </c>
      <c r="B226" t="inlineStr">
        <is>
          <t>Jorge Luis Reyes</t>
        </is>
      </c>
      <c r="C226" t="inlineStr">
        <is>
          <t>Bajaj KOO B1H</t>
        </is>
      </c>
      <c r="D226" t="inlineStr">
        <is>
          <t>KOOB1H</t>
        </is>
      </c>
      <c r="H226" t="n">
        <v>240000</v>
      </c>
      <c r="I226" t="n">
        <v>240000</v>
      </c>
      <c r="J226" t="inlineStr">
        <is>
          <t>efectivo</t>
        </is>
      </c>
    </row>
    <row r="227">
      <c r="A227" s="3" t="n">
        <v>46047</v>
      </c>
      <c r="B227" t="inlineStr">
        <is>
          <t>Jorge Luis Reyes</t>
        </is>
      </c>
      <c r="C227" t="inlineStr">
        <is>
          <t>Bajaj KOO B1H</t>
        </is>
      </c>
      <c r="D227" t="inlineStr">
        <is>
          <t>KOOB1H</t>
        </is>
      </c>
      <c r="H227" t="n">
        <v>240000</v>
      </c>
      <c r="I227" t="n">
        <v>240000</v>
      </c>
      <c r="J227" t="inlineStr">
        <is>
          <t>efectivo</t>
        </is>
      </c>
    </row>
    <row r="228">
      <c r="A228" s="3" t="n">
        <v>46055</v>
      </c>
      <c r="B228" t="inlineStr">
        <is>
          <t>Jorge Luis Reyes</t>
        </is>
      </c>
      <c r="C228" t="inlineStr">
        <is>
          <t>Bajaj KOO B1H</t>
        </is>
      </c>
      <c r="D228" t="inlineStr">
        <is>
          <t>KOOB1H</t>
        </is>
      </c>
      <c r="H228" t="n">
        <v>240000</v>
      </c>
      <c r="I228" t="n">
        <v>240000</v>
      </c>
      <c r="J228" t="inlineStr">
        <is>
          <t>efectivo</t>
        </is>
      </c>
    </row>
    <row r="229">
      <c r="A229" s="3" t="n">
        <v>46063</v>
      </c>
      <c r="B229" t="inlineStr">
        <is>
          <t>Jorge Luis Reyes</t>
        </is>
      </c>
      <c r="C229" t="inlineStr">
        <is>
          <t>Bajaj KOO B1H</t>
        </is>
      </c>
      <c r="D229" t="inlineStr">
        <is>
          <t>KOOB1H</t>
        </is>
      </c>
      <c r="H229" t="n">
        <v>240000</v>
      </c>
      <c r="I229" t="n">
        <v>240000</v>
      </c>
      <c r="J229" t="inlineStr">
        <is>
          <t>efectivo</t>
        </is>
      </c>
    </row>
    <row r="230">
      <c r="A230" s="3" t="n">
        <v>46071</v>
      </c>
      <c r="B230" t="inlineStr">
        <is>
          <t>Jorge Luis Reyes</t>
        </is>
      </c>
      <c r="C230" t="inlineStr">
        <is>
          <t>Bajaj KOO B1H</t>
        </is>
      </c>
      <c r="D230" t="inlineStr">
        <is>
          <t>KOOB1H</t>
        </is>
      </c>
      <c r="H230" t="n">
        <v>240000</v>
      </c>
      <c r="I230" t="n">
        <v>240000</v>
      </c>
      <c r="J230" t="inlineStr">
        <is>
          <t>efectivo</t>
        </is>
      </c>
    </row>
    <row r="231">
      <c r="A231" s="3" t="n">
        <v>46078</v>
      </c>
      <c r="B231" t="inlineStr">
        <is>
          <t>Jorge Luis Reyes</t>
        </is>
      </c>
      <c r="C231" t="inlineStr">
        <is>
          <t>Bajaj KOO B1H</t>
        </is>
      </c>
      <c r="D231" t="inlineStr">
        <is>
          <t>KOOB1H</t>
        </is>
      </c>
      <c r="H231" t="n">
        <v>240000</v>
      </c>
      <c r="I231" t="n">
        <v>240000</v>
      </c>
      <c r="J231" t="inlineStr">
        <is>
          <t>efectivo</t>
        </is>
      </c>
    </row>
    <row r="232">
      <c r="A232" s="3" t="n">
        <v>46086</v>
      </c>
      <c r="B232" t="inlineStr">
        <is>
          <t>Jorge Luis Reyes</t>
        </is>
      </c>
      <c r="C232" t="inlineStr">
        <is>
          <t>Bajaj KOO B1H</t>
        </is>
      </c>
      <c r="D232" t="inlineStr">
        <is>
          <t>KOOB1H</t>
        </is>
      </c>
      <c r="H232" t="n">
        <v>240000</v>
      </c>
      <c r="I232" t="n">
        <v>240000</v>
      </c>
      <c r="J232" t="inlineStr">
        <is>
          <t>efectivo</t>
        </is>
      </c>
    </row>
    <row r="233">
      <c r="A233" s="3" t="n">
        <v>46094</v>
      </c>
      <c r="B233" t="inlineStr">
        <is>
          <t>Jorge Luis Reyes</t>
        </is>
      </c>
      <c r="C233" t="inlineStr">
        <is>
          <t>Bajaj KOO B1H</t>
        </is>
      </c>
      <c r="D233" t="inlineStr">
        <is>
          <t>KOOB1H</t>
        </is>
      </c>
      <c r="H233" t="n">
        <v>240000</v>
      </c>
      <c r="I233" t="n">
        <v>240000</v>
      </c>
      <c r="J233" t="inlineStr">
        <is>
          <t>efectivo</t>
        </is>
      </c>
    </row>
    <row r="234">
      <c r="A234" s="3" t="n">
        <v>46102</v>
      </c>
      <c r="B234" t="inlineStr">
        <is>
          <t>Jorge Luis Reyes</t>
        </is>
      </c>
      <c r="C234" t="inlineStr">
        <is>
          <t>Bajaj KOO B1H</t>
        </is>
      </c>
      <c r="D234" t="inlineStr">
        <is>
          <t>KOOB1H</t>
        </is>
      </c>
      <c r="H234" t="n">
        <v>240000</v>
      </c>
      <c r="I234" t="n">
        <v>240000</v>
      </c>
      <c r="J234" t="inlineStr">
        <is>
          <t>efectivo</t>
        </is>
      </c>
    </row>
    <row r="235">
      <c r="A235" s="3" t="n">
        <v>46110</v>
      </c>
      <c r="B235" t="inlineStr">
        <is>
          <t>Jorge Luis Reyes</t>
        </is>
      </c>
      <c r="C235" t="inlineStr">
        <is>
          <t>Bajaj KOO B1H</t>
        </is>
      </c>
      <c r="D235" t="inlineStr">
        <is>
          <t>KOOB1H</t>
        </is>
      </c>
      <c r="H235" t="n">
        <v>240000</v>
      </c>
      <c r="I235" t="n">
        <v>240000</v>
      </c>
      <c r="J235" t="inlineStr">
        <is>
          <t>efectivo</t>
        </is>
      </c>
    </row>
    <row r="236">
      <c r="A236" s="3" t="n">
        <v>46118</v>
      </c>
      <c r="B236" t="inlineStr">
        <is>
          <t>Jorge Luis Reyes</t>
        </is>
      </c>
      <c r="C236" t="inlineStr">
        <is>
          <t>Bajaj KOO B1H</t>
        </is>
      </c>
      <c r="D236" t="inlineStr">
        <is>
          <t>KOOB1H</t>
        </is>
      </c>
      <c r="H236" t="n">
        <v>240000</v>
      </c>
      <c r="I236" t="n">
        <v>240000</v>
      </c>
      <c r="J236" t="inlineStr">
        <is>
          <t>efectivo</t>
        </is>
      </c>
    </row>
    <row r="237">
      <c r="A237" s="3" t="n">
        <v>46120</v>
      </c>
      <c r="B237" t="inlineStr">
        <is>
          <t>Jorge Luis Reyes</t>
        </is>
      </c>
      <c r="C237" t="inlineStr">
        <is>
          <t>Bajaj KOO B1H</t>
        </is>
      </c>
      <c r="D237" t="inlineStr">
        <is>
          <t>KOOB1H</t>
        </is>
      </c>
      <c r="H237" t="n">
        <v>240000</v>
      </c>
      <c r="I237" t="n">
        <v>240000</v>
      </c>
      <c r="J237" t="inlineStr">
        <is>
          <t>efectivo</t>
        </is>
      </c>
    </row>
    <row r="238">
      <c r="A238" s="3" t="n">
        <v>46130</v>
      </c>
      <c r="B238" t="inlineStr">
        <is>
          <t>Jorge Luis Reyes</t>
        </is>
      </c>
      <c r="C238" t="inlineStr">
        <is>
          <t>Bajaj KOO B1H</t>
        </is>
      </c>
      <c r="D238" t="inlineStr">
        <is>
          <t>KOOB1H</t>
        </is>
      </c>
      <c r="H238" t="n">
        <v>240000</v>
      </c>
      <c r="I238" t="n">
        <v>240000</v>
      </c>
      <c r="J238" t="inlineStr">
        <is>
          <t>efectivo</t>
        </is>
      </c>
    </row>
    <row r="239">
      <c r="A239" s="3" t="n">
        <v>46136</v>
      </c>
      <c r="B239" t="inlineStr">
        <is>
          <t>Jorge Luis Reyes</t>
        </is>
      </c>
      <c r="C239" t="inlineStr">
        <is>
          <t>Bajaj KOO B1H</t>
        </is>
      </c>
      <c r="D239" t="inlineStr">
        <is>
          <t>KOOB1H</t>
        </is>
      </c>
      <c r="H239" t="n">
        <v>240000</v>
      </c>
      <c r="I239" t="n">
        <v>240000</v>
      </c>
      <c r="J239" t="inlineStr">
        <is>
          <t>efectivo</t>
        </is>
      </c>
    </row>
    <row r="240">
      <c r="A240" s="3" t="n">
        <v>46149</v>
      </c>
      <c r="B240" t="inlineStr">
        <is>
          <t>Jorge Luis Reyes</t>
        </is>
      </c>
      <c r="C240" t="inlineStr">
        <is>
          <t>Bajaj KOO B1H</t>
        </is>
      </c>
      <c r="D240" t="inlineStr">
        <is>
          <t>KOOB1H</t>
        </is>
      </c>
      <c r="H240" t="n">
        <v>240000</v>
      </c>
      <c r="I240" t="n">
        <v>240000</v>
      </c>
      <c r="J240" t="inlineStr">
        <is>
          <t>efectivo</t>
        </is>
      </c>
    </row>
    <row r="241">
      <c r="A241" s="3" t="n">
        <v>46154</v>
      </c>
      <c r="B241" t="inlineStr">
        <is>
          <t>Jorge Luis Reyes</t>
        </is>
      </c>
      <c r="C241" t="inlineStr">
        <is>
          <t>Bajaj KOO B1H</t>
        </is>
      </c>
      <c r="D241" t="inlineStr">
        <is>
          <t>KOOB1H</t>
        </is>
      </c>
      <c r="H241" t="n">
        <v>240000</v>
      </c>
      <c r="I241" t="n">
        <v>240000</v>
      </c>
      <c r="J241" t="inlineStr">
        <is>
          <t>efectivo</t>
        </is>
      </c>
    </row>
    <row r="242">
      <c r="A242" s="3" t="n">
        <v>46162</v>
      </c>
      <c r="B242" t="inlineStr">
        <is>
          <t>Jorge Luis Reyes</t>
        </is>
      </c>
      <c r="C242" t="inlineStr">
        <is>
          <t>Bajaj KOO B1H</t>
        </is>
      </c>
      <c r="D242" t="inlineStr">
        <is>
          <t>KOOB1H</t>
        </is>
      </c>
      <c r="H242" t="n">
        <v>240000</v>
      </c>
      <c r="I242" t="n">
        <v>240000</v>
      </c>
      <c r="J242" t="inlineStr">
        <is>
          <t>efectivo</t>
        </is>
      </c>
    </row>
    <row r="243">
      <c r="A243" s="3" t="n">
        <v>46176</v>
      </c>
      <c r="B243" t="inlineStr">
        <is>
          <t>Jorge Luis Reyes</t>
        </is>
      </c>
      <c r="C243" t="inlineStr">
        <is>
          <t>Bajaj KOO B1H</t>
        </is>
      </c>
      <c r="D243" t="inlineStr">
        <is>
          <t>KOOB1H</t>
        </is>
      </c>
      <c r="H243" t="n">
        <v>240000</v>
      </c>
      <c r="I243" t="n">
        <v>240000</v>
      </c>
      <c r="J243" t="inlineStr">
        <is>
          <t>efectivo</t>
        </is>
      </c>
    </row>
    <row r="244">
      <c r="A244" s="3" t="n">
        <v>46014</v>
      </c>
      <c r="B244" t="inlineStr">
        <is>
          <t>Luis Gabriel Polo</t>
        </is>
      </c>
      <c r="C244" t="inlineStr">
        <is>
          <t>Bajaj KOM 89H</t>
        </is>
      </c>
      <c r="D244" t="inlineStr">
        <is>
          <t>KOM89H</t>
        </is>
      </c>
      <c r="H244" t="n">
        <v>240000</v>
      </c>
      <c r="I244" t="n">
        <v>240000</v>
      </c>
      <c r="J244" t="inlineStr">
        <is>
          <t>efectivo</t>
        </is>
      </c>
    </row>
    <row r="245">
      <c r="A245" s="3" t="n">
        <v>46026</v>
      </c>
      <c r="B245" t="inlineStr">
        <is>
          <t>Luis Gabriel Polo</t>
        </is>
      </c>
      <c r="C245" t="inlineStr">
        <is>
          <t>Bajaj KOM 89H</t>
        </is>
      </c>
      <c r="D245" t="inlineStr">
        <is>
          <t>KOM89H</t>
        </is>
      </c>
      <c r="H245" t="n">
        <v>240000</v>
      </c>
      <c r="I245" t="n">
        <v>240000</v>
      </c>
      <c r="J245" t="inlineStr">
        <is>
          <t>efectivo</t>
        </is>
      </c>
    </row>
    <row r="246">
      <c r="A246" s="3" t="n">
        <v>46030</v>
      </c>
      <c r="B246" t="inlineStr">
        <is>
          <t>Luis Gabriel Polo</t>
        </is>
      </c>
      <c r="C246" t="inlineStr">
        <is>
          <t>Bajaj KOM 89H</t>
        </is>
      </c>
      <c r="D246" t="inlineStr">
        <is>
          <t>KOM89H</t>
        </is>
      </c>
      <c r="H246" t="n">
        <v>240000</v>
      </c>
      <c r="I246" t="n">
        <v>240000</v>
      </c>
      <c r="J246" t="inlineStr">
        <is>
          <t>efectivo</t>
        </is>
      </c>
    </row>
    <row r="247">
      <c r="A247" s="3" t="n">
        <v>46037</v>
      </c>
      <c r="B247" t="inlineStr">
        <is>
          <t>Luis Gabriel Polo</t>
        </is>
      </c>
      <c r="C247" t="inlineStr">
        <is>
          <t>Bajaj KOM 89H</t>
        </is>
      </c>
      <c r="D247" t="inlineStr">
        <is>
          <t>KOM89H</t>
        </is>
      </c>
      <c r="H247" t="n">
        <v>240000</v>
      </c>
      <c r="I247" t="n">
        <v>240000</v>
      </c>
      <c r="J247" t="inlineStr">
        <is>
          <t>efectivo</t>
        </is>
      </c>
    </row>
    <row r="248">
      <c r="A248" s="3" t="n">
        <v>46044</v>
      </c>
      <c r="B248" t="inlineStr">
        <is>
          <t>Luis Gabriel Polo</t>
        </is>
      </c>
      <c r="C248" t="inlineStr">
        <is>
          <t>Bajaj KOM 89H</t>
        </is>
      </c>
      <c r="D248" t="inlineStr">
        <is>
          <t>KOM89H</t>
        </is>
      </c>
      <c r="H248" t="n">
        <v>240000</v>
      </c>
      <c r="I248" t="n">
        <v>240000</v>
      </c>
      <c r="J248" t="inlineStr">
        <is>
          <t>efectivo</t>
        </is>
      </c>
    </row>
    <row r="249">
      <c r="A249" s="3" t="n">
        <v>46051</v>
      </c>
      <c r="B249" t="inlineStr">
        <is>
          <t>Luis Gabriel Polo</t>
        </is>
      </c>
      <c r="C249" t="inlineStr">
        <is>
          <t>Bajaj KOM 89H</t>
        </is>
      </c>
      <c r="D249" t="inlineStr">
        <is>
          <t>KOM89H</t>
        </is>
      </c>
      <c r="H249" t="n">
        <v>240000</v>
      </c>
      <c r="I249" t="n">
        <v>240000</v>
      </c>
      <c r="J249" t="inlineStr">
        <is>
          <t>efectivo</t>
        </is>
      </c>
    </row>
    <row r="250">
      <c r="A250" s="3" t="n">
        <v>46058</v>
      </c>
      <c r="B250" t="inlineStr">
        <is>
          <t>Luis Gabriel Polo</t>
        </is>
      </c>
      <c r="C250" t="inlineStr">
        <is>
          <t>Bajaj KOM 89H</t>
        </is>
      </c>
      <c r="D250" t="inlineStr">
        <is>
          <t>KOM89H</t>
        </is>
      </c>
      <c r="H250" t="n">
        <v>240000</v>
      </c>
      <c r="I250" t="n">
        <v>240000</v>
      </c>
      <c r="J250" t="inlineStr">
        <is>
          <t>efectivo</t>
        </is>
      </c>
    </row>
    <row r="251">
      <c r="A251" s="3" t="n">
        <v>46065</v>
      </c>
      <c r="B251" t="inlineStr">
        <is>
          <t>Luis Gabriel Polo</t>
        </is>
      </c>
      <c r="C251" t="inlineStr">
        <is>
          <t>Bajaj KOM 89H</t>
        </is>
      </c>
      <c r="D251" t="inlineStr">
        <is>
          <t>KOM89H</t>
        </is>
      </c>
      <c r="H251" t="n">
        <v>240000</v>
      </c>
      <c r="I251" t="n">
        <v>240000</v>
      </c>
      <c r="J251" t="inlineStr">
        <is>
          <t>efectivo</t>
        </is>
      </c>
    </row>
    <row r="252">
      <c r="A252" s="3" t="n">
        <v>46080</v>
      </c>
      <c r="B252" t="inlineStr">
        <is>
          <t>Luis Gabriel Polo</t>
        </is>
      </c>
      <c r="C252" t="inlineStr">
        <is>
          <t>Bajaj KOM 89H</t>
        </is>
      </c>
      <c r="D252" t="inlineStr">
        <is>
          <t>KOM89H</t>
        </is>
      </c>
      <c r="H252" t="n">
        <v>240000</v>
      </c>
      <c r="I252" t="n">
        <v>240000</v>
      </c>
      <c r="J252" t="inlineStr">
        <is>
          <t>efectivo</t>
        </is>
      </c>
    </row>
    <row r="253">
      <c r="A253" s="3" t="n">
        <v>46086</v>
      </c>
      <c r="B253" t="inlineStr">
        <is>
          <t>Luis Gabriel Polo</t>
        </is>
      </c>
      <c r="C253" t="inlineStr">
        <is>
          <t>Bajaj KOM 89H</t>
        </is>
      </c>
      <c r="D253" t="inlineStr">
        <is>
          <t>KOM89H</t>
        </is>
      </c>
      <c r="H253" t="n">
        <v>240000</v>
      </c>
      <c r="I253" t="n">
        <v>240000</v>
      </c>
      <c r="J253" t="inlineStr">
        <is>
          <t>efectivo</t>
        </is>
      </c>
    </row>
    <row r="254">
      <c r="A254" s="3" t="n">
        <v>46093</v>
      </c>
      <c r="B254" t="inlineStr">
        <is>
          <t>Luis Gabriel Polo</t>
        </is>
      </c>
      <c r="C254" t="inlineStr">
        <is>
          <t>Bajaj KOM 89H</t>
        </is>
      </c>
      <c r="D254" t="inlineStr">
        <is>
          <t>KOM89H</t>
        </is>
      </c>
      <c r="H254" t="n">
        <v>240000</v>
      </c>
      <c r="I254" t="n">
        <v>240000</v>
      </c>
      <c r="J254" t="inlineStr">
        <is>
          <t>efectivo</t>
        </is>
      </c>
    </row>
    <row r="255">
      <c r="A255" s="3" t="n">
        <v>46100</v>
      </c>
      <c r="B255" t="inlineStr">
        <is>
          <t>Luis Gabriel Polo</t>
        </is>
      </c>
      <c r="C255" t="inlineStr">
        <is>
          <t>Bajaj KOM 89H</t>
        </is>
      </c>
      <c r="D255" t="inlineStr">
        <is>
          <t>KOM89H</t>
        </is>
      </c>
      <c r="H255" t="n">
        <v>240000</v>
      </c>
      <c r="I255" t="n">
        <v>240000</v>
      </c>
      <c r="J255" t="inlineStr">
        <is>
          <t>efectivo</t>
        </is>
      </c>
    </row>
    <row r="256">
      <c r="A256" s="3" t="n">
        <v>46107</v>
      </c>
      <c r="B256" t="inlineStr">
        <is>
          <t>Luis Gabriel Polo</t>
        </is>
      </c>
      <c r="C256" t="inlineStr">
        <is>
          <t>Bajaj KOM 89H</t>
        </is>
      </c>
      <c r="D256" t="inlineStr">
        <is>
          <t>KOM89H</t>
        </is>
      </c>
      <c r="H256" t="n">
        <v>240000</v>
      </c>
      <c r="I256" t="n">
        <v>240000</v>
      </c>
      <c r="J256" t="inlineStr">
        <is>
          <t>efectivo</t>
        </is>
      </c>
    </row>
    <row r="257">
      <c r="A257" s="3" t="n">
        <v>46122</v>
      </c>
      <c r="B257" t="inlineStr">
        <is>
          <t>Luis Gabriel Polo</t>
        </is>
      </c>
      <c r="C257" t="inlineStr">
        <is>
          <t>Bajaj KOM 89H</t>
        </is>
      </c>
      <c r="D257" t="inlineStr">
        <is>
          <t>KOM89H</t>
        </is>
      </c>
      <c r="H257" t="n">
        <v>240000</v>
      </c>
      <c r="I257" t="n">
        <v>240000</v>
      </c>
      <c r="J257" t="inlineStr">
        <is>
          <t>efectivo</t>
        </is>
      </c>
    </row>
    <row r="258">
      <c r="A258" s="3" t="n">
        <v>46127</v>
      </c>
      <c r="B258" t="inlineStr">
        <is>
          <t>Luis Gabriel Polo</t>
        </is>
      </c>
      <c r="C258" t="inlineStr">
        <is>
          <t>Bajaj KOM 89H</t>
        </is>
      </c>
      <c r="D258" t="inlineStr">
        <is>
          <t>KOM89H</t>
        </is>
      </c>
      <c r="H258" t="n">
        <v>240000</v>
      </c>
      <c r="I258" t="n">
        <v>240000</v>
      </c>
      <c r="J258" t="inlineStr">
        <is>
          <t>efectivo</t>
        </is>
      </c>
    </row>
    <row r="259">
      <c r="A259" s="3" t="n">
        <v>46130</v>
      </c>
      <c r="B259" t="inlineStr">
        <is>
          <t>Luis Gabriel Polo</t>
        </is>
      </c>
      <c r="C259" t="inlineStr">
        <is>
          <t>Bajaj KOM 89H</t>
        </is>
      </c>
      <c r="D259" t="inlineStr">
        <is>
          <t>KOM89H</t>
        </is>
      </c>
      <c r="H259" t="n">
        <v>240000</v>
      </c>
      <c r="I259" t="n">
        <v>240000</v>
      </c>
      <c r="J259" t="inlineStr">
        <is>
          <t>efectivo</t>
        </is>
      </c>
    </row>
    <row r="260">
      <c r="A260" s="3" t="n">
        <v>46137</v>
      </c>
      <c r="B260" t="inlineStr">
        <is>
          <t>Luis Gabriel Polo</t>
        </is>
      </c>
      <c r="C260" t="inlineStr">
        <is>
          <t>Bajaj KOM 89H</t>
        </is>
      </c>
      <c r="D260" t="inlineStr">
        <is>
          <t>KOM89H</t>
        </is>
      </c>
      <c r="H260" t="n">
        <v>240000</v>
      </c>
      <c r="I260" t="n">
        <v>240000</v>
      </c>
      <c r="J260" t="inlineStr">
        <is>
          <t>efectivo</t>
        </is>
      </c>
    </row>
    <row r="261">
      <c r="A261" s="3" t="n">
        <v>46150</v>
      </c>
      <c r="B261" t="inlineStr">
        <is>
          <t>Luis Gabriel Polo</t>
        </is>
      </c>
      <c r="C261" t="inlineStr">
        <is>
          <t>Bajaj KOM 89H</t>
        </is>
      </c>
      <c r="D261" t="inlineStr">
        <is>
          <t>KOM89H</t>
        </is>
      </c>
      <c r="H261" t="n">
        <v>240000</v>
      </c>
      <c r="I261" t="n">
        <v>240000</v>
      </c>
      <c r="J261" t="inlineStr">
        <is>
          <t>efectivo</t>
        </is>
      </c>
    </row>
    <row r="262">
      <c r="A262" s="3" t="n">
        <v>46156</v>
      </c>
      <c r="B262" t="inlineStr">
        <is>
          <t>Luis Gabriel Polo</t>
        </is>
      </c>
      <c r="C262" t="inlineStr">
        <is>
          <t>Bajaj KOM 89H</t>
        </is>
      </c>
      <c r="D262" t="inlineStr">
        <is>
          <t>KOM89H</t>
        </is>
      </c>
      <c r="H262" t="n">
        <v>240000</v>
      </c>
      <c r="I262" t="n">
        <v>240000</v>
      </c>
      <c r="J262" t="inlineStr">
        <is>
          <t>efectivo</t>
        </is>
      </c>
    </row>
    <row r="263">
      <c r="A263" s="3" t="n">
        <v>46163</v>
      </c>
      <c r="B263" t="inlineStr">
        <is>
          <t>Luis Gabriel Polo</t>
        </is>
      </c>
      <c r="C263" t="inlineStr">
        <is>
          <t>Bajaj KOM 89H</t>
        </is>
      </c>
      <c r="D263" t="inlineStr">
        <is>
          <t>KOM89H</t>
        </is>
      </c>
      <c r="H263" t="n">
        <v>240000</v>
      </c>
      <c r="I263" t="n">
        <v>240000</v>
      </c>
      <c r="J263" t="inlineStr">
        <is>
          <t>efectivo</t>
        </is>
      </c>
    </row>
    <row r="264">
      <c r="A264" s="3" t="n">
        <v>46173</v>
      </c>
      <c r="B264" t="inlineStr">
        <is>
          <t>Luis Gabriel Polo</t>
        </is>
      </c>
      <c r="C264" t="inlineStr">
        <is>
          <t>Bajaj KOM 89H</t>
        </is>
      </c>
      <c r="D264" t="inlineStr">
        <is>
          <t>KOM89H</t>
        </is>
      </c>
      <c r="H264" t="n">
        <v>240000</v>
      </c>
      <c r="I264" t="n">
        <v>240000</v>
      </c>
      <c r="J264" t="inlineStr">
        <is>
          <t>efectivo</t>
        </is>
      </c>
    </row>
    <row r="265">
      <c r="A265" s="3" t="n">
        <v>46179</v>
      </c>
      <c r="B265" t="inlineStr">
        <is>
          <t>Luis Gabriel Polo</t>
        </is>
      </c>
      <c r="C265" t="inlineStr">
        <is>
          <t>Bajaj KOM 89H</t>
        </is>
      </c>
      <c r="D265" t="inlineStr">
        <is>
          <t>KOM89H</t>
        </is>
      </c>
      <c r="H265" t="n">
        <v>240000</v>
      </c>
      <c r="I265" t="n">
        <v>240000</v>
      </c>
      <c r="J265" t="inlineStr">
        <is>
          <t>efectivo</t>
        </is>
      </c>
    </row>
    <row r="266">
      <c r="A266" s="3" t="n">
        <v>46189</v>
      </c>
      <c r="B266" t="inlineStr">
        <is>
          <t>Luis Gabriel Polo</t>
        </is>
      </c>
      <c r="C266" t="inlineStr">
        <is>
          <t>Bajaj KOM 89H</t>
        </is>
      </c>
      <c r="D266" t="inlineStr">
        <is>
          <t>KOM89H</t>
        </is>
      </c>
      <c r="H266" t="n">
        <v>240000</v>
      </c>
      <c r="I266" t="n">
        <v>240000</v>
      </c>
      <c r="J266" t="inlineStr">
        <is>
          <t>efectivo</t>
        </is>
      </c>
    </row>
    <row r="267">
      <c r="A267" s="3" t="n">
        <v>46196</v>
      </c>
      <c r="B267" t="inlineStr">
        <is>
          <t>Luis Gabriel Polo</t>
        </is>
      </c>
      <c r="C267" t="inlineStr">
        <is>
          <t>Bajaj KOM 89H</t>
        </is>
      </c>
      <c r="D267" t="inlineStr">
        <is>
          <t>KOM89H</t>
        </is>
      </c>
      <c r="H267" t="n">
        <v>240000</v>
      </c>
      <c r="I267" t="n">
        <v>240000</v>
      </c>
      <c r="J267" t="inlineStr">
        <is>
          <t>efectivo</t>
        </is>
      </c>
    </row>
    <row r="268">
      <c r="A268" s="3" t="n">
        <v>45705</v>
      </c>
      <c r="B268" t="inlineStr">
        <is>
          <t>Duvon Enrique</t>
        </is>
      </c>
      <c r="C268" t="inlineStr">
        <is>
          <t>Bajaj KEB 58H</t>
        </is>
      </c>
      <c r="D268" t="inlineStr">
        <is>
          <t>KEB58H</t>
        </is>
      </c>
      <c r="H268" t="n">
        <v>240000</v>
      </c>
      <c r="I268" t="n">
        <v>240000</v>
      </c>
      <c r="J268" t="inlineStr">
        <is>
          <t>efectivo</t>
        </is>
      </c>
    </row>
    <row r="269">
      <c r="A269" s="3" t="n">
        <v>45714</v>
      </c>
      <c r="B269" t="inlineStr">
        <is>
          <t>Duvon Enrique</t>
        </is>
      </c>
      <c r="C269" t="inlineStr">
        <is>
          <t>Bajaj KEB 58H</t>
        </is>
      </c>
      <c r="D269" t="inlineStr">
        <is>
          <t>KEB58H</t>
        </is>
      </c>
      <c r="H269" t="n">
        <v>240000</v>
      </c>
      <c r="I269" t="n">
        <v>240000</v>
      </c>
      <c r="J269" t="inlineStr">
        <is>
          <t>efectivo</t>
        </is>
      </c>
    </row>
    <row r="270">
      <c r="A270" s="3" t="n">
        <v>45728</v>
      </c>
      <c r="B270" t="inlineStr">
        <is>
          <t>Duvon Enrique</t>
        </is>
      </c>
      <c r="C270" t="inlineStr">
        <is>
          <t>Bajaj KEB 58H</t>
        </is>
      </c>
      <c r="D270" t="inlineStr">
        <is>
          <t>KEB58H</t>
        </is>
      </c>
      <c r="H270" t="n">
        <v>240000</v>
      </c>
      <c r="I270" t="n">
        <v>240000</v>
      </c>
      <c r="J270" t="inlineStr">
        <is>
          <t>efectivo</t>
        </is>
      </c>
    </row>
    <row r="271">
      <c r="A271" s="3" t="n">
        <v>45735</v>
      </c>
      <c r="B271" t="inlineStr">
        <is>
          <t>Duvon Enrique</t>
        </is>
      </c>
      <c r="C271" t="inlineStr">
        <is>
          <t>Bajaj KEB 58H</t>
        </is>
      </c>
      <c r="D271" t="inlineStr">
        <is>
          <t>KEB58H</t>
        </is>
      </c>
      <c r="H271" t="n">
        <v>240000</v>
      </c>
      <c r="I271" t="n">
        <v>240000</v>
      </c>
      <c r="J271" t="inlineStr">
        <is>
          <t>efectivo</t>
        </is>
      </c>
    </row>
    <row r="272">
      <c r="A272" s="3" t="n">
        <v>45742</v>
      </c>
      <c r="B272" t="inlineStr">
        <is>
          <t>Duvon Enrique</t>
        </is>
      </c>
      <c r="C272" t="inlineStr">
        <is>
          <t>Bajaj KEB 58H</t>
        </is>
      </c>
      <c r="D272" t="inlineStr">
        <is>
          <t>KEB58H</t>
        </is>
      </c>
      <c r="H272" t="n">
        <v>240000</v>
      </c>
      <c r="I272" t="n">
        <v>240000</v>
      </c>
      <c r="J272" t="inlineStr">
        <is>
          <t>efectivo</t>
        </is>
      </c>
    </row>
    <row r="273">
      <c r="A273" s="3" t="n">
        <v>45755</v>
      </c>
      <c r="B273" t="inlineStr">
        <is>
          <t>Duvon Enrique</t>
        </is>
      </c>
      <c r="C273" t="inlineStr">
        <is>
          <t>Bajaj KEB 58H</t>
        </is>
      </c>
      <c r="D273" t="inlineStr">
        <is>
          <t>KEB58H</t>
        </is>
      </c>
      <c r="H273" t="n">
        <v>240000</v>
      </c>
      <c r="I273" t="n">
        <v>240000</v>
      </c>
      <c r="J273" t="inlineStr">
        <is>
          <t>efectivo</t>
        </is>
      </c>
    </row>
    <row r="274">
      <c r="A274" s="3" t="n">
        <v>45756</v>
      </c>
      <c r="B274" t="inlineStr">
        <is>
          <t>Duvon Enrique</t>
        </is>
      </c>
      <c r="C274" t="inlineStr">
        <is>
          <t>Bajaj KEB 58H</t>
        </is>
      </c>
      <c r="D274" t="inlineStr">
        <is>
          <t>KEB58H</t>
        </is>
      </c>
      <c r="H274" t="n">
        <v>240000</v>
      </c>
      <c r="I274" t="n">
        <v>240000</v>
      </c>
      <c r="J274" t="inlineStr">
        <is>
          <t>efectivo</t>
        </is>
      </c>
    </row>
    <row r="275">
      <c r="A275" s="3" t="n">
        <v>45763</v>
      </c>
      <c r="B275" t="inlineStr">
        <is>
          <t>Duvon Enrique</t>
        </is>
      </c>
      <c r="C275" t="inlineStr">
        <is>
          <t>Bajaj KEB 58H</t>
        </is>
      </c>
      <c r="D275" t="inlineStr">
        <is>
          <t>KEB58H</t>
        </is>
      </c>
      <c r="H275" t="n">
        <v>240000</v>
      </c>
      <c r="I275" t="n">
        <v>240000</v>
      </c>
      <c r="J275" t="inlineStr">
        <is>
          <t>efectivo</t>
        </is>
      </c>
    </row>
    <row r="276">
      <c r="A276" s="3" t="n">
        <v>45770</v>
      </c>
      <c r="B276" t="inlineStr">
        <is>
          <t>Duvon Enrique</t>
        </is>
      </c>
      <c r="C276" t="inlineStr">
        <is>
          <t>Bajaj KEB 58H</t>
        </is>
      </c>
      <c r="D276" t="inlineStr">
        <is>
          <t>KEB58H</t>
        </is>
      </c>
      <c r="H276" t="n">
        <v>240000</v>
      </c>
      <c r="I276" t="n">
        <v>240000</v>
      </c>
      <c r="J276" t="inlineStr">
        <is>
          <t>efectivo</t>
        </is>
      </c>
    </row>
    <row r="277">
      <c r="A277" s="3" t="n">
        <v>45778</v>
      </c>
      <c r="B277" t="inlineStr">
        <is>
          <t>Duvon Enrique</t>
        </is>
      </c>
      <c r="C277" t="inlineStr">
        <is>
          <t>Bajaj KEB 58H</t>
        </is>
      </c>
      <c r="D277" t="inlineStr">
        <is>
          <t>KEB58H</t>
        </is>
      </c>
      <c r="H277" t="n">
        <v>240000</v>
      </c>
      <c r="I277" t="n">
        <v>240000</v>
      </c>
      <c r="J277" t="inlineStr">
        <is>
          <t>efectivo</t>
        </is>
      </c>
    </row>
    <row r="278">
      <c r="A278" s="3" t="n">
        <v>45784</v>
      </c>
      <c r="B278" t="inlineStr">
        <is>
          <t>Duvon Enrique</t>
        </is>
      </c>
      <c r="C278" t="inlineStr">
        <is>
          <t>Bajaj KEB 58H</t>
        </is>
      </c>
      <c r="D278" t="inlineStr">
        <is>
          <t>KEB58H</t>
        </is>
      </c>
      <c r="H278" t="n">
        <v>240000</v>
      </c>
      <c r="I278" t="n">
        <v>240000</v>
      </c>
      <c r="J278" t="inlineStr">
        <is>
          <t>efectivo</t>
        </is>
      </c>
    </row>
    <row r="279">
      <c r="A279" s="3" t="n">
        <v>45792</v>
      </c>
      <c r="B279" t="inlineStr">
        <is>
          <t>Duvon Enrique</t>
        </is>
      </c>
      <c r="C279" t="inlineStr">
        <is>
          <t>Bajaj KEB 58H</t>
        </is>
      </c>
      <c r="D279" t="inlineStr">
        <is>
          <t>KEB58H</t>
        </is>
      </c>
      <c r="H279" t="n">
        <v>240000</v>
      </c>
      <c r="I279" t="n">
        <v>240000</v>
      </c>
      <c r="J279" t="inlineStr">
        <is>
          <t>efectivo</t>
        </is>
      </c>
    </row>
    <row r="280">
      <c r="A280" s="3" t="n">
        <v>45798</v>
      </c>
      <c r="B280" t="inlineStr">
        <is>
          <t>Duvon Enrique</t>
        </is>
      </c>
      <c r="C280" t="inlineStr">
        <is>
          <t>Bajaj KEB 58H</t>
        </is>
      </c>
      <c r="D280" t="inlineStr">
        <is>
          <t>KEB58H</t>
        </is>
      </c>
      <c r="H280" t="n">
        <v>240000</v>
      </c>
      <c r="I280" t="n">
        <v>240000</v>
      </c>
      <c r="J280" t="inlineStr">
        <is>
          <t>efectivo</t>
        </is>
      </c>
    </row>
    <row r="281">
      <c r="A281" s="3" t="n">
        <v>45805</v>
      </c>
      <c r="B281" t="inlineStr">
        <is>
          <t>Duvon Enrique</t>
        </is>
      </c>
      <c r="C281" t="inlineStr">
        <is>
          <t>Bajaj KEB 58H</t>
        </is>
      </c>
      <c r="D281" t="inlineStr">
        <is>
          <t>KEB58H</t>
        </is>
      </c>
      <c r="H281" t="n">
        <v>240000</v>
      </c>
      <c r="I281" t="n">
        <v>240000</v>
      </c>
      <c r="J281" t="inlineStr">
        <is>
          <t>efectivo</t>
        </is>
      </c>
    </row>
    <row r="282">
      <c r="A282" s="3" t="n">
        <v>45812</v>
      </c>
      <c r="B282" t="inlineStr">
        <is>
          <t>Duvon Enrique</t>
        </is>
      </c>
      <c r="C282" t="inlineStr">
        <is>
          <t>Bajaj KEB 58H</t>
        </is>
      </c>
      <c r="D282" t="inlineStr">
        <is>
          <t>KEB58H</t>
        </is>
      </c>
      <c r="H282" t="n">
        <v>240000</v>
      </c>
      <c r="I282" t="n">
        <v>240000</v>
      </c>
      <c r="J282" t="inlineStr">
        <is>
          <t>efectivo</t>
        </is>
      </c>
    </row>
    <row r="283">
      <c r="A283" s="3" t="n">
        <v>45818</v>
      </c>
      <c r="B283" t="inlineStr">
        <is>
          <t>Duvon Enrique</t>
        </is>
      </c>
      <c r="C283" t="inlineStr">
        <is>
          <t>Bajaj KEB 58H</t>
        </is>
      </c>
      <c r="D283" t="inlineStr">
        <is>
          <t>KEB58H</t>
        </is>
      </c>
      <c r="H283" t="n">
        <v>240000</v>
      </c>
      <c r="I283" t="n">
        <v>240000</v>
      </c>
      <c r="J283" t="inlineStr">
        <is>
          <t>efectivo</t>
        </is>
      </c>
    </row>
    <row r="284">
      <c r="A284" s="3" t="n">
        <v>45827</v>
      </c>
      <c r="B284" t="inlineStr">
        <is>
          <t>Duvon Enrique</t>
        </is>
      </c>
      <c r="C284" t="inlineStr">
        <is>
          <t>Bajaj KEB 58H</t>
        </is>
      </c>
      <c r="D284" t="inlineStr">
        <is>
          <t>KEB58H</t>
        </is>
      </c>
      <c r="H284" t="n">
        <v>240000</v>
      </c>
      <c r="I284" t="n">
        <v>240000</v>
      </c>
      <c r="J284" t="inlineStr">
        <is>
          <t>efectivo</t>
        </is>
      </c>
    </row>
    <row r="285">
      <c r="A285" s="3" t="n">
        <v>45833</v>
      </c>
      <c r="B285" t="inlineStr">
        <is>
          <t>Duvon Enrique</t>
        </is>
      </c>
      <c r="C285" t="inlineStr">
        <is>
          <t>Bajaj KEB 58H</t>
        </is>
      </c>
      <c r="D285" t="inlineStr">
        <is>
          <t>KEB58H</t>
        </is>
      </c>
      <c r="H285" t="n">
        <v>240000</v>
      </c>
      <c r="I285" t="n">
        <v>240000</v>
      </c>
      <c r="J285" t="inlineStr">
        <is>
          <t>efectivo</t>
        </is>
      </c>
    </row>
    <row r="286">
      <c r="A286" s="3" t="n">
        <v>45841</v>
      </c>
      <c r="B286" t="inlineStr">
        <is>
          <t>Duvon Enrique</t>
        </is>
      </c>
      <c r="C286" t="inlineStr">
        <is>
          <t>Bajaj KEB 58H</t>
        </is>
      </c>
      <c r="D286" t="inlineStr">
        <is>
          <t>KEB58H</t>
        </is>
      </c>
      <c r="H286" t="n">
        <v>240000</v>
      </c>
      <c r="I286" t="n">
        <v>240000</v>
      </c>
      <c r="J286" t="inlineStr">
        <is>
          <t>efectivo</t>
        </is>
      </c>
    </row>
    <row r="287">
      <c r="A287" s="3" t="n">
        <v>45849</v>
      </c>
      <c r="B287" t="inlineStr">
        <is>
          <t>Duvon Enrique</t>
        </is>
      </c>
      <c r="C287" t="inlineStr">
        <is>
          <t>Bajaj KEB 58H</t>
        </is>
      </c>
      <c r="D287" t="inlineStr">
        <is>
          <t>KEB58H</t>
        </is>
      </c>
      <c r="H287" t="n">
        <v>240000</v>
      </c>
      <c r="I287" t="n">
        <v>240000</v>
      </c>
      <c r="J287" t="inlineStr">
        <is>
          <t>efectivo</t>
        </is>
      </c>
    </row>
    <row r="288">
      <c r="A288" s="3" t="n">
        <v>45854</v>
      </c>
      <c r="B288" t="inlineStr">
        <is>
          <t>Duvon Enrique</t>
        </is>
      </c>
      <c r="C288" t="inlineStr">
        <is>
          <t>Bajaj KEB 58H</t>
        </is>
      </c>
      <c r="D288" t="inlineStr">
        <is>
          <t>KEB58H</t>
        </is>
      </c>
      <c r="H288" t="n">
        <v>240000</v>
      </c>
      <c r="I288" t="n">
        <v>240000</v>
      </c>
      <c r="J288" t="inlineStr">
        <is>
          <t>efectivo</t>
        </is>
      </c>
    </row>
    <row r="289">
      <c r="A289" s="3" t="n">
        <v>45862</v>
      </c>
      <c r="B289" t="inlineStr">
        <is>
          <t>Duvon Enrique</t>
        </is>
      </c>
      <c r="C289" t="inlineStr">
        <is>
          <t>Bajaj KEB 58H</t>
        </is>
      </c>
      <c r="D289" t="inlineStr">
        <is>
          <t>KEB58H</t>
        </is>
      </c>
      <c r="H289" t="n">
        <v>240000</v>
      </c>
      <c r="I289" t="n">
        <v>240000</v>
      </c>
      <c r="J289" t="inlineStr">
        <is>
          <t>efectivo</t>
        </is>
      </c>
    </row>
    <row r="290">
      <c r="A290" s="3" t="n">
        <v>45868</v>
      </c>
      <c r="B290" t="inlineStr">
        <is>
          <t>Duvon Enrique</t>
        </is>
      </c>
      <c r="C290" t="inlineStr">
        <is>
          <t>Bajaj KEB 58H</t>
        </is>
      </c>
      <c r="D290" t="inlineStr">
        <is>
          <t>KEB58H</t>
        </is>
      </c>
      <c r="H290" t="n">
        <v>240000</v>
      </c>
      <c r="I290" t="n">
        <v>240000</v>
      </c>
      <c r="J290" t="inlineStr">
        <is>
          <t>efectivo</t>
        </is>
      </c>
    </row>
    <row r="291">
      <c r="A291" s="3" t="n">
        <v>45876</v>
      </c>
      <c r="B291" t="inlineStr">
        <is>
          <t>Duvon Enrique</t>
        </is>
      </c>
      <c r="C291" t="inlineStr">
        <is>
          <t>Bajaj KEB 58H</t>
        </is>
      </c>
      <c r="D291" t="inlineStr">
        <is>
          <t>KEB58H</t>
        </is>
      </c>
      <c r="H291" t="n">
        <v>240000</v>
      </c>
      <c r="I291" t="n">
        <v>240000</v>
      </c>
      <c r="J291" t="inlineStr">
        <is>
          <t>efectivo</t>
        </is>
      </c>
    </row>
    <row r="292">
      <c r="A292" s="3" t="n">
        <v>45883</v>
      </c>
      <c r="B292" t="inlineStr">
        <is>
          <t>Duvon Enrique</t>
        </is>
      </c>
      <c r="C292" t="inlineStr">
        <is>
          <t>Bajaj KEB 58H</t>
        </is>
      </c>
      <c r="D292" t="inlineStr">
        <is>
          <t>KEB58H</t>
        </is>
      </c>
      <c r="H292" t="n">
        <v>240000</v>
      </c>
      <c r="I292" t="n">
        <v>240000</v>
      </c>
      <c r="J292" t="inlineStr">
        <is>
          <t>efectivo</t>
        </is>
      </c>
    </row>
    <row r="293">
      <c r="A293" s="3" t="n">
        <v>45890</v>
      </c>
      <c r="B293" t="inlineStr">
        <is>
          <t>Duvon Enrique</t>
        </is>
      </c>
      <c r="C293" t="inlineStr">
        <is>
          <t>Bajaj KEB 58H</t>
        </is>
      </c>
      <c r="D293" t="inlineStr">
        <is>
          <t>KEB58H</t>
        </is>
      </c>
      <c r="H293" t="n">
        <v>240000</v>
      </c>
      <c r="I293" t="n">
        <v>240000</v>
      </c>
      <c r="J293" t="inlineStr">
        <is>
          <t>efectivo</t>
        </is>
      </c>
    </row>
    <row r="294">
      <c r="A294" s="3" t="n">
        <v>45897</v>
      </c>
      <c r="B294" t="inlineStr">
        <is>
          <t>Duvon Enrique</t>
        </is>
      </c>
      <c r="C294" t="inlineStr">
        <is>
          <t>Bajaj KEB 58H</t>
        </is>
      </c>
      <c r="D294" t="inlineStr">
        <is>
          <t>KEB58H</t>
        </is>
      </c>
      <c r="H294" t="n">
        <v>240000</v>
      </c>
      <c r="I294" t="n">
        <v>240000</v>
      </c>
      <c r="J294" t="inlineStr">
        <is>
          <t>efectivo</t>
        </is>
      </c>
    </row>
    <row r="295">
      <c r="A295" s="3" t="n">
        <v>45925</v>
      </c>
      <c r="B295" t="inlineStr">
        <is>
          <t>Duvon Enrique</t>
        </is>
      </c>
      <c r="C295" t="inlineStr">
        <is>
          <t>Bajaj KEB 58H</t>
        </is>
      </c>
      <c r="D295" t="inlineStr">
        <is>
          <t>KEB58H</t>
        </is>
      </c>
      <c r="H295" t="n">
        <v>240000</v>
      </c>
      <c r="I295" t="n">
        <v>240000</v>
      </c>
      <c r="J295" t="inlineStr">
        <is>
          <t>efectivo</t>
        </is>
      </c>
    </row>
    <row r="296">
      <c r="A296" s="3" t="n">
        <v>45931</v>
      </c>
      <c r="B296" t="inlineStr">
        <is>
          <t>Duvon Enrique</t>
        </is>
      </c>
      <c r="C296" t="inlineStr">
        <is>
          <t>Bajaj KEB 58H</t>
        </is>
      </c>
      <c r="D296" t="inlineStr">
        <is>
          <t>KEB58H</t>
        </is>
      </c>
      <c r="H296" t="n">
        <v>240000</v>
      </c>
      <c r="I296" t="n">
        <v>240000</v>
      </c>
      <c r="J296" t="inlineStr">
        <is>
          <t>efectivo</t>
        </is>
      </c>
    </row>
    <row r="297">
      <c r="A297" s="3" t="n">
        <v>45938</v>
      </c>
      <c r="B297" t="inlineStr">
        <is>
          <t>Duvon Enrique</t>
        </is>
      </c>
      <c r="C297" t="inlineStr">
        <is>
          <t>Bajaj KEB 58H</t>
        </is>
      </c>
      <c r="D297" t="inlineStr">
        <is>
          <t>KEB58H</t>
        </is>
      </c>
      <c r="H297" t="n">
        <v>240000</v>
      </c>
      <c r="I297" t="n">
        <v>240000</v>
      </c>
      <c r="J297" t="inlineStr">
        <is>
          <t>efectivo</t>
        </is>
      </c>
    </row>
    <row r="298">
      <c r="A298" s="3" t="n">
        <v>45945</v>
      </c>
      <c r="B298" t="inlineStr">
        <is>
          <t>Duvon Enrique</t>
        </is>
      </c>
      <c r="C298" t="inlineStr">
        <is>
          <t>Bajaj KEB 58H</t>
        </is>
      </c>
      <c r="D298" t="inlineStr">
        <is>
          <t>KEB58H</t>
        </is>
      </c>
      <c r="H298" t="n">
        <v>240000</v>
      </c>
      <c r="I298" t="n">
        <v>240000</v>
      </c>
      <c r="J298" t="inlineStr">
        <is>
          <t>efectivo</t>
        </is>
      </c>
    </row>
    <row r="299">
      <c r="A299" s="3" t="n">
        <v>45952</v>
      </c>
      <c r="B299" t="inlineStr">
        <is>
          <t>Duvon Enrique</t>
        </is>
      </c>
      <c r="C299" t="inlineStr">
        <is>
          <t>Bajaj KEB 58H</t>
        </is>
      </c>
      <c r="D299" t="inlineStr">
        <is>
          <t>KEB58H</t>
        </is>
      </c>
      <c r="H299" t="n">
        <v>240000</v>
      </c>
      <c r="I299" t="n">
        <v>240000</v>
      </c>
      <c r="J299" t="inlineStr">
        <is>
          <t>efectivo</t>
        </is>
      </c>
    </row>
    <row r="300">
      <c r="A300" s="3" t="n">
        <v>45959</v>
      </c>
      <c r="B300" t="inlineStr">
        <is>
          <t>Duvon Enrique</t>
        </is>
      </c>
      <c r="C300" t="inlineStr">
        <is>
          <t>Bajaj KEB 58H</t>
        </is>
      </c>
      <c r="D300" t="inlineStr">
        <is>
          <t>KEB58H</t>
        </is>
      </c>
      <c r="H300" t="n">
        <v>240000</v>
      </c>
      <c r="I300" t="n">
        <v>240000</v>
      </c>
      <c r="J300" t="inlineStr">
        <is>
          <t>efectivo</t>
        </is>
      </c>
    </row>
    <row r="301">
      <c r="A301" s="3" t="n">
        <v>45966</v>
      </c>
      <c r="B301" t="inlineStr">
        <is>
          <t>Duvon Enrique</t>
        </is>
      </c>
      <c r="C301" t="inlineStr">
        <is>
          <t>Bajaj KEB 58H</t>
        </is>
      </c>
      <c r="D301" t="inlineStr">
        <is>
          <t>KEB58H</t>
        </is>
      </c>
      <c r="H301" t="n">
        <v>240000</v>
      </c>
      <c r="I301" t="n">
        <v>240000</v>
      </c>
      <c r="J301" t="inlineStr">
        <is>
          <t>efectivo</t>
        </is>
      </c>
    </row>
    <row r="302">
      <c r="A302" s="3" t="n">
        <v>45975</v>
      </c>
      <c r="B302" t="inlineStr">
        <is>
          <t>Duvon Enrique</t>
        </is>
      </c>
      <c r="C302" t="inlineStr">
        <is>
          <t>Bajaj KEB 58H</t>
        </is>
      </c>
      <c r="D302" t="inlineStr">
        <is>
          <t>KEB58H</t>
        </is>
      </c>
      <c r="H302" t="n">
        <v>240000</v>
      </c>
      <c r="I302" t="n">
        <v>240000</v>
      </c>
      <c r="J302" t="inlineStr">
        <is>
          <t>efectivo</t>
        </is>
      </c>
    </row>
    <row r="303">
      <c r="A303" s="3" t="n">
        <v>45980</v>
      </c>
      <c r="B303" t="inlineStr">
        <is>
          <t>Duvon Enrique</t>
        </is>
      </c>
      <c r="C303" t="inlineStr">
        <is>
          <t>Bajaj KEB 58H</t>
        </is>
      </c>
      <c r="D303" t="inlineStr">
        <is>
          <t>KEB58H</t>
        </is>
      </c>
      <c r="H303" t="n">
        <v>240000</v>
      </c>
      <c r="I303" t="n">
        <v>240000</v>
      </c>
      <c r="J303" t="inlineStr">
        <is>
          <t>efectivo</t>
        </is>
      </c>
    </row>
    <row r="304">
      <c r="A304" s="3" t="n">
        <v>45987</v>
      </c>
      <c r="B304" t="inlineStr">
        <is>
          <t>Duvon Enrique</t>
        </is>
      </c>
      <c r="C304" t="inlineStr">
        <is>
          <t>Bajaj KEB 58H</t>
        </is>
      </c>
      <c r="D304" t="inlineStr">
        <is>
          <t>KEB58H</t>
        </is>
      </c>
      <c r="H304" t="n">
        <v>240000</v>
      </c>
      <c r="I304" t="n">
        <v>240000</v>
      </c>
      <c r="J304" t="inlineStr">
        <is>
          <t>efectivo</t>
        </is>
      </c>
    </row>
    <row r="305">
      <c r="A305" s="3" t="n">
        <v>45994</v>
      </c>
      <c r="B305" t="inlineStr">
        <is>
          <t>Duvon Enrique</t>
        </is>
      </c>
      <c r="C305" t="inlineStr">
        <is>
          <t>Bajaj KEB 58H</t>
        </is>
      </c>
      <c r="D305" t="inlineStr">
        <is>
          <t>KEB58H</t>
        </is>
      </c>
      <c r="H305" t="n">
        <v>240000</v>
      </c>
      <c r="I305" t="n">
        <v>240000</v>
      </c>
      <c r="J305" t="inlineStr">
        <is>
          <t>efectivo</t>
        </is>
      </c>
    </row>
    <row r="306">
      <c r="A306" s="3" t="n">
        <v>46001</v>
      </c>
      <c r="B306" t="inlineStr">
        <is>
          <t>Duvon Enrique</t>
        </is>
      </c>
      <c r="C306" t="inlineStr">
        <is>
          <t>Bajaj KEB 58H</t>
        </is>
      </c>
      <c r="D306" t="inlineStr">
        <is>
          <t>KEB58H</t>
        </is>
      </c>
      <c r="H306" t="n">
        <v>240000</v>
      </c>
      <c r="I306" t="n">
        <v>240000</v>
      </c>
      <c r="J306" t="inlineStr">
        <is>
          <t>efectivo</t>
        </is>
      </c>
    </row>
    <row r="307">
      <c r="A307" s="3" t="n">
        <v>46008</v>
      </c>
      <c r="B307" t="inlineStr">
        <is>
          <t>Duvon Enrique</t>
        </is>
      </c>
      <c r="C307" t="inlineStr">
        <is>
          <t>Bajaj KEB 58H</t>
        </is>
      </c>
      <c r="D307" t="inlineStr">
        <is>
          <t>KEB58H</t>
        </is>
      </c>
      <c r="H307" t="n">
        <v>240000</v>
      </c>
      <c r="I307" t="n">
        <v>240000</v>
      </c>
      <c r="J307" t="inlineStr">
        <is>
          <t>efectivo</t>
        </is>
      </c>
    </row>
    <row r="308">
      <c r="A308" s="3" t="n">
        <v>46015</v>
      </c>
      <c r="B308" t="inlineStr">
        <is>
          <t>Duvon Enrique</t>
        </is>
      </c>
      <c r="C308" t="inlineStr">
        <is>
          <t>Bajaj KEB 58H</t>
        </is>
      </c>
      <c r="D308" t="inlineStr">
        <is>
          <t>KEB58H</t>
        </is>
      </c>
      <c r="H308" t="n">
        <v>240000</v>
      </c>
      <c r="I308" t="n">
        <v>240000</v>
      </c>
      <c r="J308" t="inlineStr">
        <is>
          <t>efectivo</t>
        </is>
      </c>
    </row>
    <row r="309">
      <c r="A309" s="3" t="n">
        <v>46022</v>
      </c>
      <c r="B309" t="inlineStr">
        <is>
          <t>Duvon Enrique</t>
        </is>
      </c>
      <c r="C309" t="inlineStr">
        <is>
          <t>Bajaj KEB 58H</t>
        </is>
      </c>
      <c r="D309" t="inlineStr">
        <is>
          <t>KEB58H</t>
        </is>
      </c>
      <c r="H309" t="n">
        <v>240000</v>
      </c>
      <c r="I309" t="n">
        <v>240000</v>
      </c>
      <c r="J309" t="inlineStr">
        <is>
          <t>efectivo</t>
        </is>
      </c>
    </row>
    <row r="310">
      <c r="A310" s="3" t="n">
        <v>46031</v>
      </c>
      <c r="B310" t="inlineStr">
        <is>
          <t>Duvon Enrique</t>
        </is>
      </c>
      <c r="C310" t="inlineStr">
        <is>
          <t>Bajaj KEB 58H</t>
        </is>
      </c>
      <c r="D310" t="inlineStr">
        <is>
          <t>KEB58H</t>
        </is>
      </c>
      <c r="H310" t="n">
        <v>240000</v>
      </c>
      <c r="I310" t="n">
        <v>240000</v>
      </c>
      <c r="J310" t="inlineStr">
        <is>
          <t>efectivo</t>
        </is>
      </c>
    </row>
    <row r="311">
      <c r="A311" s="3" t="n">
        <v>46043</v>
      </c>
      <c r="B311" t="inlineStr">
        <is>
          <t>Duvon Enrique</t>
        </is>
      </c>
      <c r="C311" t="inlineStr">
        <is>
          <t>Bajaj KEB 58H</t>
        </is>
      </c>
      <c r="D311" t="inlineStr">
        <is>
          <t>KEB58H</t>
        </is>
      </c>
      <c r="H311" t="n">
        <v>240000</v>
      </c>
      <c r="I311" t="n">
        <v>240000</v>
      </c>
      <c r="J311" t="inlineStr">
        <is>
          <t>efectivo</t>
        </is>
      </c>
    </row>
    <row r="312">
      <c r="A312" s="3" t="n">
        <v>46051</v>
      </c>
      <c r="B312" t="inlineStr">
        <is>
          <t>Duvon Enrique</t>
        </is>
      </c>
      <c r="C312" t="inlineStr">
        <is>
          <t>Bajaj KEB 58H</t>
        </is>
      </c>
      <c r="D312" t="inlineStr">
        <is>
          <t>KEB58H</t>
        </is>
      </c>
      <c r="H312" t="n">
        <v>240000</v>
      </c>
      <c r="I312" t="n">
        <v>240000</v>
      </c>
      <c r="J312" t="inlineStr">
        <is>
          <t>efectivo</t>
        </is>
      </c>
    </row>
    <row r="313">
      <c r="A313" s="3" t="n">
        <v>46072</v>
      </c>
      <c r="B313" t="inlineStr">
        <is>
          <t>Duvon Enrique</t>
        </is>
      </c>
      <c r="C313" t="inlineStr">
        <is>
          <t>Bajaj KEB 58H</t>
        </is>
      </c>
      <c r="D313" t="inlineStr">
        <is>
          <t>KEB58H</t>
        </is>
      </c>
      <c r="H313" t="n">
        <v>240000</v>
      </c>
      <c r="I313" t="n">
        <v>240000</v>
      </c>
      <c r="J313" t="inlineStr">
        <is>
          <t>efectivo</t>
        </is>
      </c>
    </row>
    <row r="314">
      <c r="A314" s="3" t="n">
        <v>46080</v>
      </c>
      <c r="B314" t="inlineStr">
        <is>
          <t>Duvon Enrique</t>
        </is>
      </c>
      <c r="C314" t="inlineStr">
        <is>
          <t>Bajaj KEB 58H</t>
        </is>
      </c>
      <c r="D314" t="inlineStr">
        <is>
          <t>KEB58H</t>
        </is>
      </c>
      <c r="H314" t="n">
        <v>240000</v>
      </c>
      <c r="I314" t="n">
        <v>240000</v>
      </c>
      <c r="J314" t="inlineStr">
        <is>
          <t>efectivo</t>
        </is>
      </c>
    </row>
    <row r="315">
      <c r="A315" s="3" t="n">
        <v>46085</v>
      </c>
      <c r="B315" t="inlineStr">
        <is>
          <t>Duvon Enrique</t>
        </is>
      </c>
      <c r="C315" t="inlineStr">
        <is>
          <t>Bajaj KEB 58H</t>
        </is>
      </c>
      <c r="D315" t="inlineStr">
        <is>
          <t>KEB58H</t>
        </is>
      </c>
      <c r="H315" t="n">
        <v>240000</v>
      </c>
      <c r="I315" t="n">
        <v>240000</v>
      </c>
      <c r="J315" t="inlineStr">
        <is>
          <t>efectivo</t>
        </is>
      </c>
    </row>
    <row r="316">
      <c r="A316" s="3" t="n">
        <v>46094</v>
      </c>
      <c r="B316" t="inlineStr">
        <is>
          <t>Duvon Enrique</t>
        </is>
      </c>
      <c r="C316" t="inlineStr">
        <is>
          <t>Bajaj KEB 58H</t>
        </is>
      </c>
      <c r="D316" t="inlineStr">
        <is>
          <t>KEB58H</t>
        </is>
      </c>
      <c r="H316" t="n">
        <v>240000</v>
      </c>
      <c r="I316" t="n">
        <v>240000</v>
      </c>
      <c r="J316" t="inlineStr">
        <is>
          <t>efectivo</t>
        </is>
      </c>
    </row>
    <row r="317">
      <c r="A317" s="3" t="n">
        <v>46102</v>
      </c>
      <c r="B317" t="inlineStr">
        <is>
          <t>Duvon Enrique</t>
        </is>
      </c>
      <c r="C317" t="inlineStr">
        <is>
          <t>Bajaj KEB 58H</t>
        </is>
      </c>
      <c r="D317" t="inlineStr">
        <is>
          <t>KEB58H</t>
        </is>
      </c>
      <c r="H317" t="n">
        <v>240000</v>
      </c>
      <c r="I317" t="n">
        <v>240000</v>
      </c>
      <c r="J317" t="inlineStr">
        <is>
          <t>efectivo</t>
        </is>
      </c>
    </row>
    <row r="318">
      <c r="A318" s="3" t="n">
        <v>46107</v>
      </c>
      <c r="B318" t="inlineStr">
        <is>
          <t>Duvon Enrique</t>
        </is>
      </c>
      <c r="C318" t="inlineStr">
        <is>
          <t>Bajaj KEB 58H</t>
        </is>
      </c>
      <c r="D318" t="inlineStr">
        <is>
          <t>KEB58H</t>
        </is>
      </c>
      <c r="H318" t="n">
        <v>240000</v>
      </c>
      <c r="I318" t="n">
        <v>240000</v>
      </c>
      <c r="J318" t="inlineStr">
        <is>
          <t>efectivo</t>
        </is>
      </c>
    </row>
    <row r="319">
      <c r="A319" s="3" t="n">
        <v>46114</v>
      </c>
      <c r="B319" t="inlineStr">
        <is>
          <t>Duvon Enrique</t>
        </is>
      </c>
      <c r="C319" t="inlineStr">
        <is>
          <t>Bajaj KEB 58H</t>
        </is>
      </c>
      <c r="D319" t="inlineStr">
        <is>
          <t>KEB58H</t>
        </is>
      </c>
      <c r="H319" t="n">
        <v>240000</v>
      </c>
      <c r="I319" t="n">
        <v>240000</v>
      </c>
      <c r="J319" t="inlineStr">
        <is>
          <t>efectivo</t>
        </is>
      </c>
    </row>
    <row r="320">
      <c r="A320" s="3" t="n">
        <v>46128</v>
      </c>
      <c r="B320" t="inlineStr">
        <is>
          <t>Duvon Enrique</t>
        </is>
      </c>
      <c r="C320" t="inlineStr">
        <is>
          <t>Bajaj KEB 58H</t>
        </is>
      </c>
      <c r="D320" t="inlineStr">
        <is>
          <t>KEB58H</t>
        </is>
      </c>
      <c r="H320" t="n">
        <v>240000</v>
      </c>
      <c r="I320" t="n">
        <v>240000</v>
      </c>
      <c r="J320" t="inlineStr">
        <is>
          <t>efectivo</t>
        </is>
      </c>
    </row>
    <row r="321">
      <c r="A321" s="3" t="n">
        <v>46132</v>
      </c>
      <c r="B321" t="inlineStr">
        <is>
          <t>Duvon Enrique</t>
        </is>
      </c>
      <c r="C321" t="inlineStr">
        <is>
          <t>Bajaj KEB 58H</t>
        </is>
      </c>
      <c r="D321" t="inlineStr">
        <is>
          <t>KEB58H</t>
        </is>
      </c>
      <c r="H321" t="n">
        <v>240000</v>
      </c>
      <c r="I321" t="n">
        <v>240000</v>
      </c>
      <c r="J321" t="inlineStr">
        <is>
          <t>efectivo</t>
        </is>
      </c>
    </row>
    <row r="322">
      <c r="A322" s="3" t="n">
        <v>46149</v>
      </c>
      <c r="B322" t="inlineStr">
        <is>
          <t>Duvon Enrique</t>
        </is>
      </c>
      <c r="C322" t="inlineStr">
        <is>
          <t>Bajaj KEB 58H</t>
        </is>
      </c>
      <c r="D322" t="inlineStr">
        <is>
          <t>KEB58H</t>
        </is>
      </c>
      <c r="H322" t="n">
        <v>240000</v>
      </c>
      <c r="I322" t="n">
        <v>240000</v>
      </c>
      <c r="J322" t="inlineStr">
        <is>
          <t>efectivo</t>
        </is>
      </c>
    </row>
    <row r="323">
      <c r="A323" s="3" t="n">
        <v>46158</v>
      </c>
      <c r="B323" t="inlineStr">
        <is>
          <t>Duvon Enrique</t>
        </is>
      </c>
      <c r="C323" t="inlineStr">
        <is>
          <t>Bajaj KEB 58H</t>
        </is>
      </c>
      <c r="D323" t="inlineStr">
        <is>
          <t>KEB58H</t>
        </is>
      </c>
      <c r="H323" t="n">
        <v>240000</v>
      </c>
      <c r="I323" t="n">
        <v>240000</v>
      </c>
      <c r="J323" t="inlineStr">
        <is>
          <t>efectivo</t>
        </is>
      </c>
    </row>
    <row r="324">
      <c r="A324" s="3" t="n">
        <v>46165</v>
      </c>
      <c r="B324" t="inlineStr">
        <is>
          <t>Duvon Enrique</t>
        </is>
      </c>
      <c r="C324" t="inlineStr">
        <is>
          <t>Bajaj KEB 58H</t>
        </is>
      </c>
      <c r="D324" t="inlineStr">
        <is>
          <t>KEB58H</t>
        </is>
      </c>
      <c r="H324" t="n">
        <v>240000</v>
      </c>
      <c r="I324" t="n">
        <v>240000</v>
      </c>
      <c r="J324" t="inlineStr">
        <is>
          <t>efectivo</t>
        </is>
      </c>
    </row>
    <row r="325">
      <c r="A325" s="3" t="n">
        <v>46172</v>
      </c>
      <c r="B325" t="inlineStr">
        <is>
          <t>Duvon Enrique</t>
        </is>
      </c>
      <c r="C325" t="inlineStr">
        <is>
          <t>Bajaj KEB 58H</t>
        </is>
      </c>
      <c r="D325" t="inlineStr">
        <is>
          <t>KEB58H</t>
        </is>
      </c>
      <c r="H325" t="n">
        <v>240000</v>
      </c>
      <c r="I325" t="n">
        <v>240000</v>
      </c>
      <c r="J325" t="inlineStr">
        <is>
          <t>efectivo</t>
        </is>
      </c>
    </row>
    <row r="326">
      <c r="A326" s="3" t="n">
        <v>46180</v>
      </c>
      <c r="B326" t="inlineStr">
        <is>
          <t>Duvon Enrique</t>
        </is>
      </c>
      <c r="C326" t="inlineStr">
        <is>
          <t>Bajaj KEB 58H</t>
        </is>
      </c>
      <c r="D326" t="inlineStr">
        <is>
          <t>KEB58H</t>
        </is>
      </c>
      <c r="H326" t="n">
        <v>240000</v>
      </c>
      <c r="I326" t="n">
        <v>240000</v>
      </c>
      <c r="J326" t="inlineStr">
        <is>
          <t>efectivo</t>
        </is>
      </c>
    </row>
    <row r="327">
      <c r="A327" s="3" t="n">
        <v>46193</v>
      </c>
      <c r="B327" t="inlineStr">
        <is>
          <t>Duvon Enrique</t>
        </is>
      </c>
      <c r="C327" t="inlineStr">
        <is>
          <t>Bajaj KEB 58H</t>
        </is>
      </c>
      <c r="D327" t="inlineStr">
        <is>
          <t>KEB58H</t>
        </is>
      </c>
      <c r="H327" t="n">
        <v>240000</v>
      </c>
      <c r="I327" t="n">
        <v>240000</v>
      </c>
      <c r="J327" t="inlineStr">
        <is>
          <t>efectivo</t>
        </is>
      </c>
    </row>
    <row r="328">
      <c r="A328" s="3" t="n">
        <v>46205</v>
      </c>
      <c r="B328" t="inlineStr">
        <is>
          <t>Duvon Enrique</t>
        </is>
      </c>
      <c r="C328" t="inlineStr">
        <is>
          <t>Bajaj KEB 58H</t>
        </is>
      </c>
      <c r="D328" t="inlineStr">
        <is>
          <t>KEB58H</t>
        </is>
      </c>
      <c r="H328" t="n">
        <v>240000</v>
      </c>
      <c r="I328" t="n">
        <v>240000</v>
      </c>
      <c r="J328" t="inlineStr">
        <is>
          <t>efectivo</t>
        </is>
      </c>
    </row>
    <row r="329">
      <c r="A329" s="3" t="n">
        <v>46213</v>
      </c>
      <c r="B329" t="inlineStr">
        <is>
          <t>Duvon Enrique</t>
        </is>
      </c>
      <c r="C329" t="inlineStr">
        <is>
          <t>Bajaj KEB 58H</t>
        </is>
      </c>
      <c r="D329" t="inlineStr">
        <is>
          <t>KEB58H</t>
        </is>
      </c>
      <c r="H329" t="n">
        <v>240000</v>
      </c>
      <c r="I329" t="n">
        <v>240000</v>
      </c>
      <c r="J329" t="inlineStr">
        <is>
          <t>efectivo</t>
        </is>
      </c>
    </row>
    <row r="330">
      <c r="A330" s="3" t="n">
        <v>46225</v>
      </c>
      <c r="B330" t="inlineStr">
        <is>
          <t>Duvon Enrique</t>
        </is>
      </c>
      <c r="C330" t="inlineStr">
        <is>
          <t>Bajaj KEB 58H</t>
        </is>
      </c>
      <c r="D330" t="inlineStr">
        <is>
          <t>KEB58H</t>
        </is>
      </c>
      <c r="H330" t="n">
        <v>240000</v>
      </c>
      <c r="I330" t="n">
        <v>240000</v>
      </c>
      <c r="J330" t="inlineStr">
        <is>
          <t>efectivo</t>
        </is>
      </c>
    </row>
    <row r="331">
      <c r="A331" s="3" t="n">
        <v>45751</v>
      </c>
      <c r="B331" t="inlineStr">
        <is>
          <t>Wilmer Ivis</t>
        </is>
      </c>
      <c r="C331" t="inlineStr">
        <is>
          <t>Bajaj KEW 23H</t>
        </is>
      </c>
      <c r="D331" t="inlineStr">
        <is>
          <t>KEW23H</t>
        </is>
      </c>
      <c r="H331" t="n">
        <v>240000</v>
      </c>
      <c r="I331" t="n">
        <v>240000</v>
      </c>
      <c r="J331" t="inlineStr">
        <is>
          <t>efectivo</t>
        </is>
      </c>
    </row>
    <row r="332">
      <c r="A332" s="3" t="n">
        <v>45759</v>
      </c>
      <c r="B332" t="inlineStr">
        <is>
          <t>Wilmer Ivis</t>
        </is>
      </c>
      <c r="C332" t="inlineStr">
        <is>
          <t>Bajaj KEW 23H</t>
        </is>
      </c>
      <c r="D332" t="inlineStr">
        <is>
          <t>KEW23H</t>
        </is>
      </c>
      <c r="H332" t="n">
        <v>240000</v>
      </c>
      <c r="I332" t="n">
        <v>240000</v>
      </c>
      <c r="J332" t="inlineStr">
        <is>
          <t>efectivo</t>
        </is>
      </c>
    </row>
    <row r="333">
      <c r="A333" s="3" t="n">
        <v>45767</v>
      </c>
      <c r="B333" t="inlineStr">
        <is>
          <t>Wilmer Ivis</t>
        </is>
      </c>
      <c r="C333" t="inlineStr">
        <is>
          <t>Bajaj KEW 23H</t>
        </is>
      </c>
      <c r="D333" t="inlineStr">
        <is>
          <t>KEW23H</t>
        </is>
      </c>
      <c r="H333" t="n">
        <v>240000</v>
      </c>
      <c r="I333" t="n">
        <v>240000</v>
      </c>
      <c r="J333" t="inlineStr">
        <is>
          <t>efectivo</t>
        </is>
      </c>
    </row>
    <row r="334">
      <c r="A334" s="3" t="n">
        <v>45775</v>
      </c>
      <c r="B334" t="inlineStr">
        <is>
          <t>Wilmer Ivis</t>
        </is>
      </c>
      <c r="C334" t="inlineStr">
        <is>
          <t>Bajaj KEW 23H</t>
        </is>
      </c>
      <c r="D334" t="inlineStr">
        <is>
          <t>KEW23H</t>
        </is>
      </c>
      <c r="H334" t="n">
        <v>240000</v>
      </c>
      <c r="I334" t="n">
        <v>240000</v>
      </c>
      <c r="J334" t="inlineStr">
        <is>
          <t>efectivo</t>
        </is>
      </c>
    </row>
    <row r="335">
      <c r="A335" s="3" t="n">
        <v>45783</v>
      </c>
      <c r="B335" t="inlineStr">
        <is>
          <t>Wilmer Ivis</t>
        </is>
      </c>
      <c r="C335" t="inlineStr">
        <is>
          <t>Bajaj KEW 23H</t>
        </is>
      </c>
      <c r="D335" t="inlineStr">
        <is>
          <t>KEW23H</t>
        </is>
      </c>
      <c r="H335" t="n">
        <v>240000</v>
      </c>
      <c r="I335" t="n">
        <v>240000</v>
      </c>
      <c r="J335" t="inlineStr">
        <is>
          <t>efectivo</t>
        </is>
      </c>
    </row>
    <row r="336">
      <c r="A336" s="3" t="n">
        <v>45796</v>
      </c>
      <c r="B336" t="inlineStr">
        <is>
          <t>Wilmer Ivis</t>
        </is>
      </c>
      <c r="C336" t="inlineStr">
        <is>
          <t>Bajaj KEW 23H</t>
        </is>
      </c>
      <c r="D336" t="inlineStr">
        <is>
          <t>KEW23H</t>
        </is>
      </c>
      <c r="H336" t="n">
        <v>240000</v>
      </c>
      <c r="I336" t="n">
        <v>240000</v>
      </c>
      <c r="J336" t="inlineStr">
        <is>
          <t>efectivo</t>
        </is>
      </c>
    </row>
    <row r="337">
      <c r="A337" s="3" t="n">
        <v>45803</v>
      </c>
      <c r="B337" t="inlineStr">
        <is>
          <t>Wilmer Ivis</t>
        </is>
      </c>
      <c r="C337" t="inlineStr">
        <is>
          <t>Bajaj KEW 23H</t>
        </is>
      </c>
      <c r="D337" t="inlineStr">
        <is>
          <t>KEW23H</t>
        </is>
      </c>
      <c r="H337" t="n">
        <v>240000</v>
      </c>
      <c r="I337" t="n">
        <v>240000</v>
      </c>
      <c r="J337" t="inlineStr">
        <is>
          <t>efectivo</t>
        </is>
      </c>
    </row>
    <row r="338">
      <c r="A338" s="3" t="n">
        <v>45807</v>
      </c>
      <c r="B338" t="inlineStr">
        <is>
          <t>Wilmer Ivis</t>
        </is>
      </c>
      <c r="C338" t="inlineStr">
        <is>
          <t>Bajaj KEW 23H</t>
        </is>
      </c>
      <c r="D338" t="inlineStr">
        <is>
          <t>KEW23H</t>
        </is>
      </c>
      <c r="H338" t="n">
        <v>240000</v>
      </c>
      <c r="I338" t="n">
        <v>240000</v>
      </c>
      <c r="J338" t="inlineStr">
        <is>
          <t>efectivo</t>
        </is>
      </c>
    </row>
    <row r="339">
      <c r="A339" s="3" t="n">
        <v>45815</v>
      </c>
      <c r="B339" t="inlineStr">
        <is>
          <t>Wilmer Ivis</t>
        </is>
      </c>
      <c r="C339" t="inlineStr">
        <is>
          <t>Bajaj KEW 23H</t>
        </is>
      </c>
      <c r="D339" t="inlineStr">
        <is>
          <t>KEW23H</t>
        </is>
      </c>
      <c r="H339" t="n">
        <v>240000</v>
      </c>
      <c r="I339" t="n">
        <v>240000</v>
      </c>
      <c r="J339" t="inlineStr">
        <is>
          <t>efectivo</t>
        </is>
      </c>
    </row>
    <row r="340">
      <c r="A340" s="3" t="n">
        <v>45824</v>
      </c>
      <c r="B340" t="inlineStr">
        <is>
          <t>Wilmer Ivis</t>
        </is>
      </c>
      <c r="C340" t="inlineStr">
        <is>
          <t>Bajaj KEW 23H</t>
        </is>
      </c>
      <c r="D340" t="inlineStr">
        <is>
          <t>KEW23H</t>
        </is>
      </c>
      <c r="H340" t="n">
        <v>240000</v>
      </c>
      <c r="I340" t="n">
        <v>240000</v>
      </c>
      <c r="J340" t="inlineStr">
        <is>
          <t>efectivo</t>
        </is>
      </c>
    </row>
    <row r="341">
      <c r="A341" s="3" t="n">
        <v>45831</v>
      </c>
      <c r="B341" t="inlineStr">
        <is>
          <t>Wilmer Ivis</t>
        </is>
      </c>
      <c r="C341" t="inlineStr">
        <is>
          <t>Bajaj KEW 23H</t>
        </is>
      </c>
      <c r="D341" t="inlineStr">
        <is>
          <t>KEW23H</t>
        </is>
      </c>
      <c r="H341" t="n">
        <v>240000</v>
      </c>
      <c r="I341" t="n">
        <v>240000</v>
      </c>
      <c r="J341" t="inlineStr">
        <is>
          <t>efectivo</t>
        </is>
      </c>
    </row>
    <row r="342">
      <c r="A342" s="3" t="n">
        <v>45840</v>
      </c>
      <c r="B342" t="inlineStr">
        <is>
          <t>Wilmer Ivis</t>
        </is>
      </c>
      <c r="C342" t="inlineStr">
        <is>
          <t>Bajaj KEW 23H</t>
        </is>
      </c>
      <c r="D342" t="inlineStr">
        <is>
          <t>KEW23H</t>
        </is>
      </c>
      <c r="H342" t="n">
        <v>240000</v>
      </c>
      <c r="I342" t="n">
        <v>240000</v>
      </c>
      <c r="J342" t="inlineStr">
        <is>
          <t>efectivo</t>
        </is>
      </c>
    </row>
    <row r="343">
      <c r="A343" s="3" t="n">
        <v>45849</v>
      </c>
      <c r="B343" t="inlineStr">
        <is>
          <t>Wilmer Ivis</t>
        </is>
      </c>
      <c r="C343" t="inlineStr">
        <is>
          <t>Bajaj KEW 23H</t>
        </is>
      </c>
      <c r="D343" t="inlineStr">
        <is>
          <t>KEW23H</t>
        </is>
      </c>
      <c r="H343" t="n">
        <v>240000</v>
      </c>
      <c r="I343" t="n">
        <v>240000</v>
      </c>
      <c r="J343" t="inlineStr">
        <is>
          <t>efectivo</t>
        </is>
      </c>
    </row>
    <row r="344">
      <c r="A344" s="3" t="n">
        <v>45857</v>
      </c>
      <c r="B344" t="inlineStr">
        <is>
          <t>Wilmer Ivis</t>
        </is>
      </c>
      <c r="C344" t="inlineStr">
        <is>
          <t>Bajaj KEW 23H</t>
        </is>
      </c>
      <c r="D344" t="inlineStr">
        <is>
          <t>KEW23H</t>
        </is>
      </c>
      <c r="H344" t="n">
        <v>240000</v>
      </c>
      <c r="I344" t="n">
        <v>240000</v>
      </c>
      <c r="J344" t="inlineStr">
        <is>
          <t>efectivo</t>
        </is>
      </c>
    </row>
    <row r="345">
      <c r="A345" s="3" t="n">
        <v>45865</v>
      </c>
      <c r="B345" t="inlineStr">
        <is>
          <t>Wilmer Ivis</t>
        </is>
      </c>
      <c r="C345" t="inlineStr">
        <is>
          <t>Bajaj KEW 23H</t>
        </is>
      </c>
      <c r="D345" t="inlineStr">
        <is>
          <t>KEW23H</t>
        </is>
      </c>
      <c r="H345" t="n">
        <v>240000</v>
      </c>
      <c r="I345" t="n">
        <v>240000</v>
      </c>
      <c r="J345" t="inlineStr">
        <is>
          <t>efectivo</t>
        </is>
      </c>
    </row>
    <row r="346">
      <c r="A346" s="3" t="n">
        <v>45873</v>
      </c>
      <c r="B346" t="inlineStr">
        <is>
          <t>Wilmer Ivis</t>
        </is>
      </c>
      <c r="C346" t="inlineStr">
        <is>
          <t>Bajaj KEW 23H</t>
        </is>
      </c>
      <c r="D346" t="inlineStr">
        <is>
          <t>KEW23H</t>
        </is>
      </c>
      <c r="H346" t="n">
        <v>240000</v>
      </c>
      <c r="I346" t="n">
        <v>240000</v>
      </c>
      <c r="J346" t="inlineStr">
        <is>
          <t>efectivo</t>
        </is>
      </c>
    </row>
    <row r="347">
      <c r="A347" s="3" t="n">
        <v>45881</v>
      </c>
      <c r="B347" t="inlineStr">
        <is>
          <t>Wilmer Ivis</t>
        </is>
      </c>
      <c r="C347" t="inlineStr">
        <is>
          <t>Bajaj KEW 23H</t>
        </is>
      </c>
      <c r="D347" t="inlineStr">
        <is>
          <t>KEW23H</t>
        </is>
      </c>
      <c r="H347" t="n">
        <v>240000</v>
      </c>
      <c r="I347" t="n">
        <v>240000</v>
      </c>
      <c r="J347" t="inlineStr">
        <is>
          <t>efectivo</t>
        </is>
      </c>
    </row>
    <row r="348">
      <c r="A348" s="3" t="n">
        <v>45889</v>
      </c>
      <c r="B348" t="inlineStr">
        <is>
          <t>Wilmer Ivis</t>
        </is>
      </c>
      <c r="C348" t="inlineStr">
        <is>
          <t>Bajaj KEW 23H</t>
        </is>
      </c>
      <c r="D348" t="inlineStr">
        <is>
          <t>KEW23H</t>
        </is>
      </c>
      <c r="H348" t="n">
        <v>240000</v>
      </c>
      <c r="I348" t="n">
        <v>240000</v>
      </c>
      <c r="J348" t="inlineStr">
        <is>
          <t>efectivo</t>
        </is>
      </c>
    </row>
    <row r="349">
      <c r="A349" s="3" t="n">
        <v>45897</v>
      </c>
      <c r="B349" t="inlineStr">
        <is>
          <t>Wilmer Ivis</t>
        </is>
      </c>
      <c r="C349" t="inlineStr">
        <is>
          <t>Bajaj KEW 23H</t>
        </is>
      </c>
      <c r="D349" t="inlineStr">
        <is>
          <t>KEW23H</t>
        </is>
      </c>
      <c r="H349" t="n">
        <v>240000</v>
      </c>
      <c r="I349" t="n">
        <v>240000</v>
      </c>
      <c r="J349" t="inlineStr">
        <is>
          <t>efectivo</t>
        </is>
      </c>
    </row>
    <row r="350">
      <c r="A350" s="3" t="n">
        <v>45905</v>
      </c>
      <c r="B350" t="inlineStr">
        <is>
          <t>Wilmer Ivis</t>
        </is>
      </c>
      <c r="C350" t="inlineStr">
        <is>
          <t>Bajaj KEW 23H</t>
        </is>
      </c>
      <c r="D350" t="inlineStr">
        <is>
          <t>KEW23H</t>
        </is>
      </c>
      <c r="H350" t="n">
        <v>240000</v>
      </c>
      <c r="I350" t="n">
        <v>240000</v>
      </c>
      <c r="J350" t="inlineStr">
        <is>
          <t>efectivo</t>
        </is>
      </c>
    </row>
    <row r="351">
      <c r="A351" s="3" t="n">
        <v>45913</v>
      </c>
      <c r="B351" t="inlineStr">
        <is>
          <t>Wilmer Ivis</t>
        </is>
      </c>
      <c r="C351" t="inlineStr">
        <is>
          <t>Bajaj KEW 23H</t>
        </is>
      </c>
      <c r="D351" t="inlineStr">
        <is>
          <t>KEW23H</t>
        </is>
      </c>
      <c r="H351" t="n">
        <v>240000</v>
      </c>
      <c r="I351" t="n">
        <v>240000</v>
      </c>
      <c r="J351" t="inlineStr">
        <is>
          <t>efectivo</t>
        </is>
      </c>
    </row>
    <row r="352">
      <c r="A352" s="3" t="n">
        <v>45921</v>
      </c>
      <c r="B352" t="inlineStr">
        <is>
          <t>Wilmer Ivis</t>
        </is>
      </c>
      <c r="C352" t="inlineStr">
        <is>
          <t>Bajaj KEW 23H</t>
        </is>
      </c>
      <c r="D352" t="inlineStr">
        <is>
          <t>KEW23H</t>
        </is>
      </c>
      <c r="H352" t="n">
        <v>240000</v>
      </c>
      <c r="I352" t="n">
        <v>240000</v>
      </c>
      <c r="J352" t="inlineStr">
        <is>
          <t>efectivo</t>
        </is>
      </c>
    </row>
    <row r="353">
      <c r="A353" s="3" t="n">
        <v>45929</v>
      </c>
      <c r="B353" t="inlineStr">
        <is>
          <t>Wilmer Ivis</t>
        </is>
      </c>
      <c r="C353" t="inlineStr">
        <is>
          <t>Bajaj KEW 23H</t>
        </is>
      </c>
      <c r="D353" t="inlineStr">
        <is>
          <t>KEW23H</t>
        </is>
      </c>
      <c r="H353" t="n">
        <v>240000</v>
      </c>
      <c r="I353" t="n">
        <v>240000</v>
      </c>
      <c r="J353" t="inlineStr">
        <is>
          <t>efectivo</t>
        </is>
      </c>
    </row>
    <row r="354">
      <c r="A354" s="3" t="n">
        <v>45937</v>
      </c>
      <c r="B354" t="inlineStr">
        <is>
          <t>Wilmer Ivis</t>
        </is>
      </c>
      <c r="C354" t="inlineStr">
        <is>
          <t>Bajaj KEW 23H</t>
        </is>
      </c>
      <c r="D354" t="inlineStr">
        <is>
          <t>KEW23H</t>
        </is>
      </c>
      <c r="H354" t="n">
        <v>240000</v>
      </c>
      <c r="I354" t="n">
        <v>240000</v>
      </c>
      <c r="J354" t="inlineStr">
        <is>
          <t>efectivo</t>
        </is>
      </c>
    </row>
    <row r="355">
      <c r="A355" s="3" t="n">
        <v>45943</v>
      </c>
      <c r="B355" t="inlineStr">
        <is>
          <t>Wilmer Ivis</t>
        </is>
      </c>
      <c r="C355" t="inlineStr">
        <is>
          <t>Bajaj KEW 23H</t>
        </is>
      </c>
      <c r="D355" t="inlineStr">
        <is>
          <t>KEW23H</t>
        </is>
      </c>
      <c r="H355" t="n">
        <v>240000</v>
      </c>
      <c r="I355" t="n">
        <v>240000</v>
      </c>
      <c r="J355" t="inlineStr">
        <is>
          <t>efectivo</t>
        </is>
      </c>
    </row>
    <row r="356">
      <c r="A356" s="3" t="n">
        <v>45951</v>
      </c>
      <c r="B356" t="inlineStr">
        <is>
          <t>Wilmer Ivis</t>
        </is>
      </c>
      <c r="C356" t="inlineStr">
        <is>
          <t>Bajaj KEW 23H</t>
        </is>
      </c>
      <c r="D356" t="inlineStr">
        <is>
          <t>KEW23H</t>
        </is>
      </c>
      <c r="H356" t="n">
        <v>240000</v>
      </c>
      <c r="I356" t="n">
        <v>240000</v>
      </c>
      <c r="J356" t="inlineStr">
        <is>
          <t>efectivo</t>
        </is>
      </c>
    </row>
    <row r="357">
      <c r="A357" s="3" t="n">
        <v>45960</v>
      </c>
      <c r="B357" t="inlineStr">
        <is>
          <t>Wilmer Ivis</t>
        </is>
      </c>
      <c r="C357" t="inlineStr">
        <is>
          <t>Bajaj KEW 23H</t>
        </is>
      </c>
      <c r="D357" t="inlineStr">
        <is>
          <t>KEW23H</t>
        </is>
      </c>
      <c r="H357" t="n">
        <v>240000</v>
      </c>
      <c r="I357" t="n">
        <v>240000</v>
      </c>
      <c r="J357" t="inlineStr">
        <is>
          <t>efectivo</t>
        </is>
      </c>
    </row>
    <row r="358">
      <c r="A358" s="3" t="n">
        <v>45969</v>
      </c>
      <c r="B358" t="inlineStr">
        <is>
          <t>Wilmer Ivis</t>
        </is>
      </c>
      <c r="C358" t="inlineStr">
        <is>
          <t>Bajaj KEW 23H</t>
        </is>
      </c>
      <c r="D358" t="inlineStr">
        <is>
          <t>KEW23H</t>
        </is>
      </c>
      <c r="H358" t="n">
        <v>240000</v>
      </c>
      <c r="I358" t="n">
        <v>240000</v>
      </c>
      <c r="J358" t="inlineStr">
        <is>
          <t>efectivo</t>
        </is>
      </c>
    </row>
    <row r="359">
      <c r="A359" s="3" t="n">
        <v>45976</v>
      </c>
      <c r="B359" t="inlineStr">
        <is>
          <t>Wilmer Ivis</t>
        </is>
      </c>
      <c r="C359" t="inlineStr">
        <is>
          <t>Bajaj KEW 23H</t>
        </is>
      </c>
      <c r="D359" t="inlineStr">
        <is>
          <t>KEW23H</t>
        </is>
      </c>
      <c r="H359" t="n">
        <v>240000</v>
      </c>
      <c r="I359" t="n">
        <v>240000</v>
      </c>
      <c r="J359" t="inlineStr">
        <is>
          <t>efectivo</t>
        </is>
      </c>
    </row>
    <row r="360">
      <c r="A360" s="3" t="n">
        <v>45984</v>
      </c>
      <c r="B360" t="inlineStr">
        <is>
          <t>Wilmer Ivis</t>
        </is>
      </c>
      <c r="C360" t="inlineStr">
        <is>
          <t>Bajaj KEW 23H</t>
        </is>
      </c>
      <c r="D360" t="inlineStr">
        <is>
          <t>KEW23H</t>
        </is>
      </c>
      <c r="H360" t="n">
        <v>240000</v>
      </c>
      <c r="I360" t="n">
        <v>240000</v>
      </c>
      <c r="J360" t="inlineStr">
        <is>
          <t>efectivo</t>
        </is>
      </c>
    </row>
    <row r="361">
      <c r="A361" s="3" t="n">
        <v>45992</v>
      </c>
      <c r="B361" t="inlineStr">
        <is>
          <t>Wilmer Ivis</t>
        </is>
      </c>
      <c r="C361" t="inlineStr">
        <is>
          <t>Bajaj KEW 23H</t>
        </is>
      </c>
      <c r="D361" t="inlineStr">
        <is>
          <t>KEW23H</t>
        </is>
      </c>
      <c r="H361" t="n">
        <v>240000</v>
      </c>
      <c r="I361" t="n">
        <v>240000</v>
      </c>
      <c r="J361" t="inlineStr">
        <is>
          <t>efectivo</t>
        </is>
      </c>
    </row>
    <row r="362">
      <c r="A362" s="3" t="n">
        <v>46000</v>
      </c>
      <c r="B362" t="inlineStr">
        <is>
          <t>Wilmer Ivis</t>
        </is>
      </c>
      <c r="C362" t="inlineStr">
        <is>
          <t>Bajaj KEW 23H</t>
        </is>
      </c>
      <c r="D362" t="inlineStr">
        <is>
          <t>KEW23H</t>
        </is>
      </c>
      <c r="H362" t="n">
        <v>240000</v>
      </c>
      <c r="I362" t="n">
        <v>240000</v>
      </c>
      <c r="J362" t="inlineStr">
        <is>
          <t>efectivo</t>
        </is>
      </c>
    </row>
    <row r="363">
      <c r="A363" s="3" t="n">
        <v>46008</v>
      </c>
      <c r="B363" t="inlineStr">
        <is>
          <t>Wilmer Ivis</t>
        </is>
      </c>
      <c r="C363" t="inlineStr">
        <is>
          <t>Bajaj KEW 23H</t>
        </is>
      </c>
      <c r="D363" t="inlineStr">
        <is>
          <t>KEW23H</t>
        </is>
      </c>
      <c r="H363" t="n">
        <v>240000</v>
      </c>
      <c r="I363" t="n">
        <v>240000</v>
      </c>
      <c r="J363" t="inlineStr">
        <is>
          <t>efectivo</t>
        </is>
      </c>
    </row>
    <row r="364">
      <c r="A364" s="3" t="n">
        <v>46016</v>
      </c>
      <c r="B364" t="inlineStr">
        <is>
          <t>Wilmer Ivis</t>
        </is>
      </c>
      <c r="C364" t="inlineStr">
        <is>
          <t>Bajaj KEW 23H</t>
        </is>
      </c>
      <c r="D364" t="inlineStr">
        <is>
          <t>KEW23H</t>
        </is>
      </c>
      <c r="H364" t="n">
        <v>240000</v>
      </c>
      <c r="I364" t="n">
        <v>240000</v>
      </c>
      <c r="J364" t="inlineStr">
        <is>
          <t>efectivo</t>
        </is>
      </c>
    </row>
    <row r="365">
      <c r="A365" s="3" t="n">
        <v>46029</v>
      </c>
      <c r="B365" t="inlineStr">
        <is>
          <t>Wilmer Ivis</t>
        </is>
      </c>
      <c r="C365" t="inlineStr">
        <is>
          <t>Bajaj KEW 23H</t>
        </is>
      </c>
      <c r="D365" t="inlineStr">
        <is>
          <t>KEW23H</t>
        </is>
      </c>
      <c r="H365" t="n">
        <v>240000</v>
      </c>
      <c r="I365" t="n">
        <v>240000</v>
      </c>
      <c r="J365" t="inlineStr">
        <is>
          <t>efectivo</t>
        </is>
      </c>
    </row>
    <row r="366">
      <c r="A366" s="3" t="n">
        <v>46037</v>
      </c>
      <c r="B366" t="inlineStr">
        <is>
          <t>Wilmer Ivis</t>
        </is>
      </c>
      <c r="C366" t="inlineStr">
        <is>
          <t>Bajaj KEW 23H</t>
        </is>
      </c>
      <c r="D366" t="inlineStr">
        <is>
          <t>KEW23H</t>
        </is>
      </c>
      <c r="H366" t="n">
        <v>240000</v>
      </c>
      <c r="I366" t="n">
        <v>240000</v>
      </c>
      <c r="J366" t="inlineStr">
        <is>
          <t>efectivo</t>
        </is>
      </c>
    </row>
    <row r="367">
      <c r="A367" s="3" t="n">
        <v>46045</v>
      </c>
      <c r="B367" t="inlineStr">
        <is>
          <t>Wilmer Ivis</t>
        </is>
      </c>
      <c r="C367" t="inlineStr">
        <is>
          <t>Bajaj KEW 23H</t>
        </is>
      </c>
      <c r="D367" t="inlineStr">
        <is>
          <t>KEW23H</t>
        </is>
      </c>
      <c r="H367" t="n">
        <v>240000</v>
      </c>
      <c r="I367" t="n">
        <v>240000</v>
      </c>
      <c r="J367" t="inlineStr">
        <is>
          <t>efectivo</t>
        </is>
      </c>
    </row>
    <row r="368">
      <c r="A368" s="3" t="n">
        <v>46054</v>
      </c>
      <c r="B368" t="inlineStr">
        <is>
          <t>Wilmer Ivis</t>
        </is>
      </c>
      <c r="C368" t="inlineStr">
        <is>
          <t>Bajaj KEW 23H</t>
        </is>
      </c>
      <c r="D368" t="inlineStr">
        <is>
          <t>KEW23H</t>
        </is>
      </c>
      <c r="H368" t="n">
        <v>240000</v>
      </c>
      <c r="I368" t="n">
        <v>240000</v>
      </c>
      <c r="J368" t="inlineStr">
        <is>
          <t>efectivo</t>
        </is>
      </c>
    </row>
    <row r="369">
      <c r="A369" s="3" t="n">
        <v>46062</v>
      </c>
      <c r="B369" t="inlineStr">
        <is>
          <t>Wilmer Ivis</t>
        </is>
      </c>
      <c r="C369" t="inlineStr">
        <is>
          <t>Bajaj KEW 23H</t>
        </is>
      </c>
      <c r="D369" t="inlineStr">
        <is>
          <t>KEW23H</t>
        </is>
      </c>
      <c r="H369" t="n">
        <v>240000</v>
      </c>
      <c r="I369" t="n">
        <v>240000</v>
      </c>
      <c r="J369" t="inlineStr">
        <is>
          <t>efectivo</t>
        </is>
      </c>
    </row>
    <row r="370">
      <c r="A370" s="3" t="n">
        <v>46070</v>
      </c>
      <c r="B370" t="inlineStr">
        <is>
          <t>Wilmer Ivis</t>
        </is>
      </c>
      <c r="C370" t="inlineStr">
        <is>
          <t>Bajaj KEW 23H</t>
        </is>
      </c>
      <c r="D370" t="inlineStr">
        <is>
          <t>KEW23H</t>
        </is>
      </c>
      <c r="H370" t="n">
        <v>240000</v>
      </c>
      <c r="I370" t="n">
        <v>240000</v>
      </c>
      <c r="J370" t="inlineStr">
        <is>
          <t>efectivo</t>
        </is>
      </c>
    </row>
    <row r="371">
      <c r="A371" s="3" t="n">
        <v>46078</v>
      </c>
      <c r="B371" t="inlineStr">
        <is>
          <t>Wilmer Ivis</t>
        </is>
      </c>
      <c r="C371" t="inlineStr">
        <is>
          <t>Bajaj KEW 23H</t>
        </is>
      </c>
      <c r="D371" t="inlineStr">
        <is>
          <t>KEW23H</t>
        </is>
      </c>
      <c r="H371" t="n">
        <v>240000</v>
      </c>
      <c r="I371" t="n">
        <v>240000</v>
      </c>
      <c r="J371" t="inlineStr">
        <is>
          <t>efectivo</t>
        </is>
      </c>
    </row>
    <row r="372">
      <c r="A372" s="3" t="n">
        <v>46086</v>
      </c>
      <c r="B372" t="inlineStr">
        <is>
          <t>Wilmer Ivis</t>
        </is>
      </c>
      <c r="C372" t="inlineStr">
        <is>
          <t>Bajaj KEW 23H</t>
        </is>
      </c>
      <c r="D372" t="inlineStr">
        <is>
          <t>KEW23H</t>
        </is>
      </c>
      <c r="H372" t="n">
        <v>240000</v>
      </c>
      <c r="I372" t="n">
        <v>240000</v>
      </c>
      <c r="J372" t="inlineStr">
        <is>
          <t>efectivo</t>
        </is>
      </c>
    </row>
    <row r="373">
      <c r="A373" s="3" t="n">
        <v>46094</v>
      </c>
      <c r="B373" t="inlineStr">
        <is>
          <t>Wilmer Ivis</t>
        </is>
      </c>
      <c r="C373" t="inlineStr">
        <is>
          <t>Bajaj KEW 23H</t>
        </is>
      </c>
      <c r="D373" t="inlineStr">
        <is>
          <t>KEW23H</t>
        </is>
      </c>
      <c r="H373" t="n">
        <v>240000</v>
      </c>
      <c r="I373" t="n">
        <v>240000</v>
      </c>
      <c r="J373" t="inlineStr">
        <is>
          <t>efectivo</t>
        </is>
      </c>
    </row>
    <row r="374">
      <c r="A374" s="3" t="n">
        <v>46102</v>
      </c>
      <c r="B374" t="inlineStr">
        <is>
          <t>Wilmer Ivis</t>
        </is>
      </c>
      <c r="C374" t="inlineStr">
        <is>
          <t>Bajaj KEW 23H</t>
        </is>
      </c>
      <c r="D374" t="inlineStr">
        <is>
          <t>KEW23H</t>
        </is>
      </c>
      <c r="H374" t="n">
        <v>240000</v>
      </c>
      <c r="I374" t="n">
        <v>240000</v>
      </c>
      <c r="J374" t="inlineStr">
        <is>
          <t>efectivo</t>
        </is>
      </c>
    </row>
    <row r="375">
      <c r="A375" s="3" t="n">
        <v>46110</v>
      </c>
      <c r="B375" t="inlineStr">
        <is>
          <t>Wilmer Ivis</t>
        </is>
      </c>
      <c r="C375" t="inlineStr">
        <is>
          <t>Bajaj KEW 23H</t>
        </is>
      </c>
      <c r="D375" t="inlineStr">
        <is>
          <t>KEW23H</t>
        </is>
      </c>
      <c r="H375" t="n">
        <v>240000</v>
      </c>
      <c r="I375" t="n">
        <v>240000</v>
      </c>
      <c r="J375" t="inlineStr">
        <is>
          <t>efectivo</t>
        </is>
      </c>
    </row>
    <row r="376">
      <c r="A376" s="3" t="n">
        <v>46119</v>
      </c>
      <c r="B376" t="inlineStr">
        <is>
          <t>Wilmer Ivis</t>
        </is>
      </c>
      <c r="C376" t="inlineStr">
        <is>
          <t>Bajaj KEW 23H</t>
        </is>
      </c>
      <c r="D376" t="inlineStr">
        <is>
          <t>KEW23H</t>
        </is>
      </c>
      <c r="H376" t="n">
        <v>240000</v>
      </c>
      <c r="I376" t="n">
        <v>240000</v>
      </c>
      <c r="J376" t="inlineStr">
        <is>
          <t>efectivo</t>
        </is>
      </c>
    </row>
    <row r="377">
      <c r="A377" s="3" t="n">
        <v>46127</v>
      </c>
      <c r="B377" t="inlineStr">
        <is>
          <t>Wilmer Ivis</t>
        </is>
      </c>
      <c r="C377" t="inlineStr">
        <is>
          <t>Bajaj KEW 23H</t>
        </is>
      </c>
      <c r="D377" t="inlineStr">
        <is>
          <t>KEW23H</t>
        </is>
      </c>
      <c r="H377" t="n">
        <v>240000</v>
      </c>
      <c r="I377" t="n">
        <v>240000</v>
      </c>
      <c r="J377" t="inlineStr">
        <is>
          <t>efectivo</t>
        </is>
      </c>
    </row>
    <row r="378">
      <c r="A378" s="3" t="n">
        <v>46135</v>
      </c>
      <c r="B378" t="inlineStr">
        <is>
          <t>Wilmer Ivis</t>
        </is>
      </c>
      <c r="C378" t="inlineStr">
        <is>
          <t>Bajaj KEW 23H</t>
        </is>
      </c>
      <c r="D378" t="inlineStr">
        <is>
          <t>KEW23H</t>
        </is>
      </c>
      <c r="H378" t="n">
        <v>240000</v>
      </c>
      <c r="I378" t="n">
        <v>240000</v>
      </c>
      <c r="J378" t="inlineStr">
        <is>
          <t>efectivo</t>
        </is>
      </c>
    </row>
    <row r="379">
      <c r="A379" s="3" t="n">
        <v>46144</v>
      </c>
      <c r="B379" t="inlineStr">
        <is>
          <t>Wilmer Ivis</t>
        </is>
      </c>
      <c r="C379" t="inlineStr">
        <is>
          <t>Bajaj KEW 23H</t>
        </is>
      </c>
      <c r="D379" t="inlineStr">
        <is>
          <t>KEW23H</t>
        </is>
      </c>
      <c r="H379" t="n">
        <v>240000</v>
      </c>
      <c r="I379" t="n">
        <v>240000</v>
      </c>
      <c r="J379" t="inlineStr">
        <is>
          <t>efectivo</t>
        </is>
      </c>
    </row>
    <row r="380">
      <c r="A380" s="3" t="n">
        <v>46152</v>
      </c>
      <c r="B380" t="inlineStr">
        <is>
          <t>Wilmer Ivis</t>
        </is>
      </c>
      <c r="C380" t="inlineStr">
        <is>
          <t>Bajaj KEW 23H</t>
        </is>
      </c>
      <c r="D380" t="inlineStr">
        <is>
          <t>KEW23H</t>
        </is>
      </c>
      <c r="H380" t="n">
        <v>240000</v>
      </c>
      <c r="I380" t="n">
        <v>240000</v>
      </c>
      <c r="J380" t="inlineStr">
        <is>
          <t>efectivo</t>
        </is>
      </c>
    </row>
    <row r="381">
      <c r="A381" s="3" t="n">
        <v>46160</v>
      </c>
      <c r="B381" t="inlineStr">
        <is>
          <t>Wilmer Ivis</t>
        </is>
      </c>
      <c r="C381" t="inlineStr">
        <is>
          <t>Bajaj KEW 23H</t>
        </is>
      </c>
      <c r="D381" t="inlineStr">
        <is>
          <t>KEW23H</t>
        </is>
      </c>
      <c r="H381" t="n">
        <v>240000</v>
      </c>
      <c r="I381" t="n">
        <v>240000</v>
      </c>
      <c r="J381" t="inlineStr">
        <is>
          <t>efectivo</t>
        </is>
      </c>
    </row>
    <row r="382">
      <c r="A382" s="3" t="n">
        <v>46168</v>
      </c>
      <c r="B382" t="inlineStr">
        <is>
          <t>Wilmer Ivis</t>
        </is>
      </c>
      <c r="C382" t="inlineStr">
        <is>
          <t>Bajaj KEW 23H</t>
        </is>
      </c>
      <c r="D382" t="inlineStr">
        <is>
          <t>KEW23H</t>
        </is>
      </c>
      <c r="H382" t="n">
        <v>240000</v>
      </c>
      <c r="I382" t="n">
        <v>240000</v>
      </c>
      <c r="J382" t="inlineStr">
        <is>
          <t>efectivo</t>
        </is>
      </c>
    </row>
    <row r="383">
      <c r="A383" s="3" t="n">
        <v>46176</v>
      </c>
      <c r="B383" t="inlineStr">
        <is>
          <t>Wilmer Ivis</t>
        </is>
      </c>
      <c r="C383" t="inlineStr">
        <is>
          <t>Bajaj KEW 23H</t>
        </is>
      </c>
      <c r="D383" t="inlineStr">
        <is>
          <t>KEW23H</t>
        </is>
      </c>
      <c r="H383" t="n">
        <v>240000</v>
      </c>
      <c r="I383" t="n">
        <v>240000</v>
      </c>
      <c r="J383" t="inlineStr">
        <is>
          <t>efectivo</t>
        </is>
      </c>
    </row>
    <row r="384">
      <c r="A384" s="3" t="n">
        <v>46184</v>
      </c>
      <c r="B384" t="inlineStr">
        <is>
          <t>Wilmer Ivis</t>
        </is>
      </c>
      <c r="C384" t="inlineStr">
        <is>
          <t>Bajaj KEW 23H</t>
        </is>
      </c>
      <c r="D384" t="inlineStr">
        <is>
          <t>KEW23H</t>
        </is>
      </c>
      <c r="H384" t="n">
        <v>240000</v>
      </c>
      <c r="I384" t="n">
        <v>240000</v>
      </c>
      <c r="J384" t="inlineStr">
        <is>
          <t>efectivo</t>
        </is>
      </c>
    </row>
    <row r="385">
      <c r="A385" s="3" t="n">
        <v>46192</v>
      </c>
      <c r="B385" t="inlineStr">
        <is>
          <t>Wilmer Ivis</t>
        </is>
      </c>
      <c r="C385" t="inlineStr">
        <is>
          <t>Bajaj KEW 23H</t>
        </is>
      </c>
      <c r="D385" t="inlineStr">
        <is>
          <t>KEW23H</t>
        </is>
      </c>
      <c r="H385" t="n">
        <v>240000</v>
      </c>
      <c r="I385" t="n">
        <v>240000</v>
      </c>
      <c r="J385" t="inlineStr">
        <is>
          <t>efectivo</t>
        </is>
      </c>
    </row>
    <row r="386">
      <c r="A386" s="3" t="n">
        <v>46201</v>
      </c>
      <c r="B386" t="inlineStr">
        <is>
          <t>Wilmer Ivis</t>
        </is>
      </c>
      <c r="C386" t="inlineStr">
        <is>
          <t>Bajaj KEW 23H</t>
        </is>
      </c>
      <c r="D386" t="inlineStr">
        <is>
          <t>KEW23H</t>
        </is>
      </c>
      <c r="H386" t="n">
        <v>240000</v>
      </c>
      <c r="I386" t="n">
        <v>240000</v>
      </c>
      <c r="J386" t="inlineStr">
        <is>
          <t>efectivo</t>
        </is>
      </c>
    </row>
    <row r="387">
      <c r="A387" s="3" t="n">
        <v>46208</v>
      </c>
      <c r="B387" t="inlineStr">
        <is>
          <t>Wilmer Ivis</t>
        </is>
      </c>
      <c r="C387" t="inlineStr">
        <is>
          <t>Bajaj KEW 23H</t>
        </is>
      </c>
      <c r="D387" t="inlineStr">
        <is>
          <t>KEW23H</t>
        </is>
      </c>
      <c r="H387" t="n">
        <v>240000</v>
      </c>
      <c r="I387" t="n">
        <v>240000</v>
      </c>
      <c r="J387" t="inlineStr">
        <is>
          <t>efectivo</t>
        </is>
      </c>
    </row>
    <row r="388">
      <c r="A388" s="3" t="n">
        <v>46217</v>
      </c>
      <c r="B388" t="inlineStr">
        <is>
          <t>Wilmer Ivis</t>
        </is>
      </c>
      <c r="C388" t="inlineStr">
        <is>
          <t>Bajaj KEW 23H</t>
        </is>
      </c>
      <c r="D388" t="inlineStr">
        <is>
          <t>KEW23H</t>
        </is>
      </c>
      <c r="H388" t="n">
        <v>240000</v>
      </c>
      <c r="I388" t="n">
        <v>240000</v>
      </c>
      <c r="J388" t="inlineStr">
        <is>
          <t>efectivo</t>
        </is>
      </c>
    </row>
    <row r="389">
      <c r="A389" s="3" t="n">
        <v>46224</v>
      </c>
      <c r="B389" t="inlineStr">
        <is>
          <t>Wilmer Ivis</t>
        </is>
      </c>
      <c r="C389" t="inlineStr">
        <is>
          <t>Bajaj KEW 23H</t>
        </is>
      </c>
      <c r="D389" t="inlineStr">
        <is>
          <t>KEW23H</t>
        </is>
      </c>
      <c r="H389" t="n">
        <v>240000</v>
      </c>
      <c r="I389" t="n">
        <v>240000</v>
      </c>
      <c r="J389" t="inlineStr">
        <is>
          <t>efectivo</t>
        </is>
      </c>
    </row>
    <row r="390">
      <c r="A390" s="3" t="n">
        <v>45785</v>
      </c>
      <c r="B390" t="inlineStr">
        <is>
          <t>Jesus Morales Yuliana Olivares</t>
        </is>
      </c>
      <c r="C390" t="inlineStr">
        <is>
          <t>Bajaj KFK 1AH</t>
        </is>
      </c>
      <c r="D390" t="inlineStr">
        <is>
          <t>KFK1AH</t>
        </is>
      </c>
      <c r="H390" t="n">
        <v>240000</v>
      </c>
      <c r="I390" t="n">
        <v>240000</v>
      </c>
      <c r="J390" t="inlineStr">
        <is>
          <t>efectivo</t>
        </is>
      </c>
    </row>
    <row r="391">
      <c r="A391" s="3" t="n">
        <v>45793</v>
      </c>
      <c r="B391" t="inlineStr">
        <is>
          <t>Jesus Morales Yuliana Olivares</t>
        </is>
      </c>
      <c r="C391" t="inlineStr">
        <is>
          <t>Bajaj KFK 1AH</t>
        </is>
      </c>
      <c r="D391" t="inlineStr">
        <is>
          <t>KFK1AH</t>
        </is>
      </c>
      <c r="H391" t="n">
        <v>240000</v>
      </c>
      <c r="I391" t="n">
        <v>240000</v>
      </c>
      <c r="J391" t="inlineStr">
        <is>
          <t>efectivo</t>
        </is>
      </c>
    </row>
    <row r="392">
      <c r="A392" s="3" t="n">
        <v>45801</v>
      </c>
      <c r="B392" t="inlineStr">
        <is>
          <t>Jesus Morales Yuliana Olivares</t>
        </is>
      </c>
      <c r="C392" t="inlineStr">
        <is>
          <t>Bajaj KFK 1AH</t>
        </is>
      </c>
      <c r="D392" t="inlineStr">
        <is>
          <t>KFK1AH</t>
        </is>
      </c>
      <c r="H392" t="n">
        <v>240000</v>
      </c>
      <c r="I392" t="n">
        <v>240000</v>
      </c>
      <c r="J392" t="inlineStr">
        <is>
          <t>efectivo</t>
        </is>
      </c>
    </row>
    <row r="393">
      <c r="A393" s="3" t="n">
        <v>45809</v>
      </c>
      <c r="B393" t="inlineStr">
        <is>
          <t>Jesus Morales Yuliana Olivares</t>
        </is>
      </c>
      <c r="C393" t="inlineStr">
        <is>
          <t>Bajaj KFK 1AH</t>
        </is>
      </c>
      <c r="D393" t="inlineStr">
        <is>
          <t>KFK1AH</t>
        </is>
      </c>
      <c r="H393" t="n">
        <v>240000</v>
      </c>
      <c r="I393" t="n">
        <v>240000</v>
      </c>
      <c r="J393" t="inlineStr">
        <is>
          <t>efectivo</t>
        </is>
      </c>
    </row>
    <row r="394">
      <c r="A394" s="3" t="n">
        <v>45817</v>
      </c>
      <c r="B394" t="inlineStr">
        <is>
          <t>Jesus Morales Yuliana Olivares</t>
        </is>
      </c>
      <c r="C394" t="inlineStr">
        <is>
          <t>Bajaj KFK 1AH</t>
        </is>
      </c>
      <c r="D394" t="inlineStr">
        <is>
          <t>KFK1AH</t>
        </is>
      </c>
      <c r="H394" t="n">
        <v>240000</v>
      </c>
      <c r="I394" t="n">
        <v>240000</v>
      </c>
      <c r="J394" t="inlineStr">
        <is>
          <t>efectivo</t>
        </is>
      </c>
    </row>
    <row r="395">
      <c r="A395" s="3" t="n">
        <v>45824</v>
      </c>
      <c r="B395" t="inlineStr">
        <is>
          <t>Jesus Morales Yuliana Olivares</t>
        </is>
      </c>
      <c r="C395" t="inlineStr">
        <is>
          <t>Bajaj KFK 1AH</t>
        </is>
      </c>
      <c r="D395" t="inlineStr">
        <is>
          <t>KFK1AH</t>
        </is>
      </c>
      <c r="H395" t="n">
        <v>240000</v>
      </c>
      <c r="I395" t="n">
        <v>240000</v>
      </c>
      <c r="J395" t="inlineStr">
        <is>
          <t>efectivo</t>
        </is>
      </c>
    </row>
    <row r="396">
      <c r="A396" s="3" t="n">
        <v>45833</v>
      </c>
      <c r="B396" t="inlineStr">
        <is>
          <t>Jesus Morales Yuliana Olivares</t>
        </is>
      </c>
      <c r="C396" t="inlineStr">
        <is>
          <t>Bajaj KFK 1AH</t>
        </is>
      </c>
      <c r="D396" t="inlineStr">
        <is>
          <t>KFK1AH</t>
        </is>
      </c>
      <c r="H396" t="n">
        <v>240000</v>
      </c>
      <c r="I396" t="n">
        <v>240000</v>
      </c>
      <c r="J396" t="inlineStr">
        <is>
          <t>efectivo</t>
        </is>
      </c>
    </row>
    <row r="397">
      <c r="A397" s="3" t="n">
        <v>45841</v>
      </c>
      <c r="B397" t="inlineStr">
        <is>
          <t>Jesus Morales Yuliana Olivares</t>
        </is>
      </c>
      <c r="C397" t="inlineStr">
        <is>
          <t>Bajaj KFK 1AH</t>
        </is>
      </c>
      <c r="D397" t="inlineStr">
        <is>
          <t>KFK1AH</t>
        </is>
      </c>
      <c r="H397" t="n">
        <v>240000</v>
      </c>
      <c r="I397" t="n">
        <v>240000</v>
      </c>
      <c r="J397" t="inlineStr">
        <is>
          <t>efectivo</t>
        </is>
      </c>
    </row>
    <row r="398">
      <c r="A398" s="3" t="n">
        <v>45849</v>
      </c>
      <c r="B398" t="inlineStr">
        <is>
          <t>Jesus Morales Yuliana Olivares</t>
        </is>
      </c>
      <c r="C398" t="inlineStr">
        <is>
          <t>Bajaj KFK 1AH</t>
        </is>
      </c>
      <c r="D398" t="inlineStr">
        <is>
          <t>KFK1AH</t>
        </is>
      </c>
      <c r="H398" t="n">
        <v>240000</v>
      </c>
      <c r="I398" t="n">
        <v>240000</v>
      </c>
      <c r="J398" t="inlineStr">
        <is>
          <t>efectivo</t>
        </is>
      </c>
    </row>
    <row r="399">
      <c r="A399" s="3" t="n">
        <v>45857</v>
      </c>
      <c r="B399" t="inlineStr">
        <is>
          <t>Jesus Morales Yuliana Olivares</t>
        </is>
      </c>
      <c r="C399" t="inlineStr">
        <is>
          <t>Bajaj KFK 1AH</t>
        </is>
      </c>
      <c r="D399" t="inlineStr">
        <is>
          <t>KFK1AH</t>
        </is>
      </c>
      <c r="H399" t="n">
        <v>240000</v>
      </c>
      <c r="I399" t="n">
        <v>240000</v>
      </c>
      <c r="J399" t="inlineStr">
        <is>
          <t>efectivo</t>
        </is>
      </c>
    </row>
    <row r="400">
      <c r="A400" s="3" t="n">
        <v>45865</v>
      </c>
      <c r="B400" t="inlineStr">
        <is>
          <t>Jesus Morales Yuliana Olivares</t>
        </is>
      </c>
      <c r="C400" t="inlineStr">
        <is>
          <t>Bajaj KFK 1AH</t>
        </is>
      </c>
      <c r="D400" t="inlineStr">
        <is>
          <t>KFK1AH</t>
        </is>
      </c>
      <c r="H400" t="n">
        <v>240000</v>
      </c>
      <c r="I400" t="n">
        <v>240000</v>
      </c>
      <c r="J400" t="inlineStr">
        <is>
          <t>efectivo</t>
        </is>
      </c>
    </row>
    <row r="401">
      <c r="A401" s="3" t="n">
        <v>45873</v>
      </c>
      <c r="B401" t="inlineStr">
        <is>
          <t>Jesus Morales Yuliana Olivares</t>
        </is>
      </c>
      <c r="C401" t="inlineStr">
        <is>
          <t>Bajaj KFK 1AH</t>
        </is>
      </c>
      <c r="D401" t="inlineStr">
        <is>
          <t>KFK1AH</t>
        </is>
      </c>
      <c r="H401" t="n">
        <v>240000</v>
      </c>
      <c r="I401" t="n">
        <v>240000</v>
      </c>
      <c r="J401" t="inlineStr">
        <is>
          <t>efectivo</t>
        </is>
      </c>
    </row>
    <row r="402">
      <c r="A402" s="3" t="n">
        <v>45881</v>
      </c>
      <c r="B402" t="inlineStr">
        <is>
          <t>Jesus Morales Yuliana Olivares</t>
        </is>
      </c>
      <c r="C402" t="inlineStr">
        <is>
          <t>Bajaj KFK 1AH</t>
        </is>
      </c>
      <c r="D402" t="inlineStr">
        <is>
          <t>KFK1AH</t>
        </is>
      </c>
      <c r="H402" t="n">
        <v>240000</v>
      </c>
      <c r="I402" t="n">
        <v>240000</v>
      </c>
      <c r="J402" t="inlineStr">
        <is>
          <t>efectivo</t>
        </is>
      </c>
    </row>
    <row r="403">
      <c r="A403" s="3" t="n">
        <v>45890</v>
      </c>
      <c r="B403" t="inlineStr">
        <is>
          <t>Jesus Morales Yuliana Olivares</t>
        </is>
      </c>
      <c r="C403" t="inlineStr">
        <is>
          <t>Bajaj KFK 1AH</t>
        </is>
      </c>
      <c r="D403" t="inlineStr">
        <is>
          <t>KFK1AH</t>
        </is>
      </c>
      <c r="H403" t="n">
        <v>240000</v>
      </c>
      <c r="I403" t="n">
        <v>240000</v>
      </c>
      <c r="J403" t="inlineStr">
        <is>
          <t>efectivo</t>
        </is>
      </c>
    </row>
    <row r="404">
      <c r="A404" s="3" t="n">
        <v>45898</v>
      </c>
      <c r="B404" t="inlineStr">
        <is>
          <t>Jesus Morales Yuliana Olivares</t>
        </is>
      </c>
      <c r="C404" t="inlineStr">
        <is>
          <t>Bajaj KFK 1AH</t>
        </is>
      </c>
      <c r="D404" t="inlineStr">
        <is>
          <t>KFK1AH</t>
        </is>
      </c>
      <c r="H404" t="n">
        <v>240000</v>
      </c>
      <c r="I404" t="n">
        <v>240000</v>
      </c>
      <c r="J404" t="inlineStr">
        <is>
          <t>efectivo</t>
        </is>
      </c>
    </row>
    <row r="405">
      <c r="A405" s="3" t="n">
        <v>45906</v>
      </c>
      <c r="B405" t="inlineStr">
        <is>
          <t>Jesus Morales Yuliana Olivares</t>
        </is>
      </c>
      <c r="C405" t="inlineStr">
        <is>
          <t>Bajaj KFK 1AH</t>
        </is>
      </c>
      <c r="D405" t="inlineStr">
        <is>
          <t>KFK1AH</t>
        </is>
      </c>
      <c r="H405" t="n">
        <v>240000</v>
      </c>
      <c r="I405" t="n">
        <v>240000</v>
      </c>
      <c r="J405" t="inlineStr">
        <is>
          <t>efectivo</t>
        </is>
      </c>
    </row>
    <row r="406">
      <c r="A406" s="3" t="n">
        <v>45915</v>
      </c>
      <c r="B406" t="inlineStr">
        <is>
          <t>Jesus Morales Yuliana Olivares</t>
        </is>
      </c>
      <c r="C406" t="inlineStr">
        <is>
          <t>Bajaj KFK 1AH</t>
        </is>
      </c>
      <c r="D406" t="inlineStr">
        <is>
          <t>KFK1AH</t>
        </is>
      </c>
      <c r="H406" t="n">
        <v>240000</v>
      </c>
      <c r="I406" t="n">
        <v>240000</v>
      </c>
      <c r="J406" t="inlineStr">
        <is>
          <t>efectivo</t>
        </is>
      </c>
    </row>
    <row r="407">
      <c r="A407" s="3" t="n">
        <v>45923</v>
      </c>
      <c r="B407" t="inlineStr">
        <is>
          <t>Jesus Morales Yuliana Olivares</t>
        </is>
      </c>
      <c r="C407" t="inlineStr">
        <is>
          <t>Bajaj KFK 1AH</t>
        </is>
      </c>
      <c r="D407" t="inlineStr">
        <is>
          <t>KFK1AH</t>
        </is>
      </c>
      <c r="H407" t="n">
        <v>240000</v>
      </c>
      <c r="I407" t="n">
        <v>240000</v>
      </c>
      <c r="J407" t="inlineStr">
        <is>
          <t>efectivo</t>
        </is>
      </c>
    </row>
    <row r="408">
      <c r="A408" s="3" t="n">
        <v>45931</v>
      </c>
      <c r="B408" t="inlineStr">
        <is>
          <t>Jesus Morales Yuliana Olivares</t>
        </is>
      </c>
      <c r="C408" t="inlineStr">
        <is>
          <t>Bajaj KFK 1AH</t>
        </is>
      </c>
      <c r="D408" t="inlineStr">
        <is>
          <t>KFK1AH</t>
        </is>
      </c>
      <c r="H408" t="n">
        <v>240000</v>
      </c>
      <c r="I408" t="n">
        <v>240000</v>
      </c>
      <c r="J408" t="inlineStr">
        <is>
          <t>efectivo</t>
        </is>
      </c>
    </row>
    <row r="409">
      <c r="A409" s="3" t="n">
        <v>45940</v>
      </c>
      <c r="B409" t="inlineStr">
        <is>
          <t>Jesus Morales Yuliana Olivares</t>
        </is>
      </c>
      <c r="C409" t="inlineStr">
        <is>
          <t>Bajaj KFK 1AH</t>
        </is>
      </c>
      <c r="D409" t="inlineStr">
        <is>
          <t>KFK1AH</t>
        </is>
      </c>
      <c r="H409" t="n">
        <v>240000</v>
      </c>
      <c r="I409" t="n">
        <v>240000</v>
      </c>
      <c r="J409" t="inlineStr">
        <is>
          <t>efectivo</t>
        </is>
      </c>
    </row>
    <row r="410">
      <c r="A410" s="3" t="n">
        <v>45948</v>
      </c>
      <c r="B410" t="inlineStr">
        <is>
          <t>Jesus Morales Yuliana Olivares</t>
        </is>
      </c>
      <c r="C410" t="inlineStr">
        <is>
          <t>Bajaj KFK 1AH</t>
        </is>
      </c>
      <c r="D410" t="inlineStr">
        <is>
          <t>KFK1AH</t>
        </is>
      </c>
      <c r="H410" t="n">
        <v>240000</v>
      </c>
      <c r="I410" t="n">
        <v>240000</v>
      </c>
      <c r="J410" t="inlineStr">
        <is>
          <t>efectivo</t>
        </is>
      </c>
    </row>
    <row r="411">
      <c r="A411" s="3" t="n">
        <v>45956</v>
      </c>
      <c r="B411" t="inlineStr">
        <is>
          <t>Jesus Morales Yuliana Olivares</t>
        </is>
      </c>
      <c r="C411" t="inlineStr">
        <is>
          <t>Bajaj KFK 1AH</t>
        </is>
      </c>
      <c r="D411" t="inlineStr">
        <is>
          <t>KFK1AH</t>
        </is>
      </c>
      <c r="H411" t="n">
        <v>240000</v>
      </c>
      <c r="I411" t="n">
        <v>240000</v>
      </c>
      <c r="J411" t="inlineStr">
        <is>
          <t>efectivo</t>
        </is>
      </c>
    </row>
    <row r="412">
      <c r="A412" s="3" t="n">
        <v>45964</v>
      </c>
      <c r="B412" t="inlineStr">
        <is>
          <t>Jesus Morales Yuliana Olivares</t>
        </is>
      </c>
      <c r="C412" t="inlineStr">
        <is>
          <t>Bajaj KFK 1AH</t>
        </is>
      </c>
      <c r="D412" t="inlineStr">
        <is>
          <t>KFK1AH</t>
        </is>
      </c>
      <c r="H412" t="n">
        <v>240000</v>
      </c>
      <c r="I412" t="n">
        <v>240000</v>
      </c>
      <c r="J412" t="inlineStr">
        <is>
          <t>efectivo</t>
        </is>
      </c>
    </row>
    <row r="413">
      <c r="A413" s="3" t="n">
        <v>45972</v>
      </c>
      <c r="B413" t="inlineStr">
        <is>
          <t>Jesus Morales Yuliana Olivares</t>
        </is>
      </c>
      <c r="C413" t="inlineStr">
        <is>
          <t>Bajaj KFK 1AH</t>
        </is>
      </c>
      <c r="D413" t="inlineStr">
        <is>
          <t>KFK1AH</t>
        </is>
      </c>
      <c r="H413" t="n">
        <v>240000</v>
      </c>
      <c r="I413" t="n">
        <v>240000</v>
      </c>
      <c r="J413" t="inlineStr">
        <is>
          <t>efectivo</t>
        </is>
      </c>
    </row>
    <row r="414">
      <c r="A414" s="3" t="n">
        <v>45980</v>
      </c>
      <c r="B414" t="inlineStr">
        <is>
          <t>Jesus Morales Yuliana Olivares</t>
        </is>
      </c>
      <c r="C414" t="inlineStr">
        <is>
          <t>Bajaj KFK 1AH</t>
        </is>
      </c>
      <c r="D414" t="inlineStr">
        <is>
          <t>KFK1AH</t>
        </is>
      </c>
      <c r="H414" t="n">
        <v>240000</v>
      </c>
      <c r="I414" t="n">
        <v>240000</v>
      </c>
      <c r="J414" t="inlineStr">
        <is>
          <t>efectivo</t>
        </is>
      </c>
    </row>
    <row r="415">
      <c r="A415" s="3" t="n">
        <v>45988</v>
      </c>
      <c r="B415" t="inlineStr">
        <is>
          <t>Jesus Morales Yuliana Olivares</t>
        </is>
      </c>
      <c r="C415" t="inlineStr">
        <is>
          <t>Bajaj KFK 1AH</t>
        </is>
      </c>
      <c r="D415" t="inlineStr">
        <is>
          <t>KFK1AH</t>
        </is>
      </c>
      <c r="H415" t="n">
        <v>240000</v>
      </c>
      <c r="I415" t="n">
        <v>240000</v>
      </c>
      <c r="J415" t="inlineStr">
        <is>
          <t>efectivo</t>
        </is>
      </c>
    </row>
    <row r="416">
      <c r="A416" s="3" t="n">
        <v>45996</v>
      </c>
      <c r="B416" t="inlineStr">
        <is>
          <t>Jesus Morales Yuliana Olivares</t>
        </is>
      </c>
      <c r="C416" t="inlineStr">
        <is>
          <t>Bajaj KFK 1AH</t>
        </is>
      </c>
      <c r="D416" t="inlineStr">
        <is>
          <t>KFK1AH</t>
        </is>
      </c>
      <c r="H416" t="n">
        <v>240000</v>
      </c>
      <c r="I416" t="n">
        <v>240000</v>
      </c>
      <c r="J416" t="inlineStr">
        <is>
          <t>efectivo</t>
        </is>
      </c>
    </row>
    <row r="417">
      <c r="A417" s="3" t="n">
        <v>46004</v>
      </c>
      <c r="B417" t="inlineStr">
        <is>
          <t>Jesus Morales Yuliana Olivares</t>
        </is>
      </c>
      <c r="C417" t="inlineStr">
        <is>
          <t>Bajaj KFK 1AH</t>
        </is>
      </c>
      <c r="D417" t="inlineStr">
        <is>
          <t>KFK1AH</t>
        </is>
      </c>
      <c r="H417" t="n">
        <v>240000</v>
      </c>
      <c r="I417" t="n">
        <v>240000</v>
      </c>
      <c r="J417" t="inlineStr">
        <is>
          <t>efectivo</t>
        </is>
      </c>
    </row>
    <row r="418">
      <c r="A418" s="3" t="n">
        <v>46013</v>
      </c>
      <c r="B418" t="inlineStr">
        <is>
          <t>Jesus Morales Yuliana Olivares</t>
        </is>
      </c>
      <c r="C418" t="inlineStr">
        <is>
          <t>Bajaj KFK 1AH</t>
        </is>
      </c>
      <c r="D418" t="inlineStr">
        <is>
          <t>KFK1AH</t>
        </is>
      </c>
      <c r="H418" t="n">
        <v>240000</v>
      </c>
      <c r="I418" t="n">
        <v>240000</v>
      </c>
      <c r="J418" t="inlineStr">
        <is>
          <t>efectivo</t>
        </is>
      </c>
    </row>
    <row r="419">
      <c r="A419" s="3" t="n">
        <v>46028</v>
      </c>
      <c r="B419" t="inlineStr">
        <is>
          <t>Jesus Morales Yuliana Olivares</t>
        </is>
      </c>
      <c r="C419" t="inlineStr">
        <is>
          <t>Bajaj KFK 1AH</t>
        </is>
      </c>
      <c r="D419" t="inlineStr">
        <is>
          <t>KFK1AH</t>
        </is>
      </c>
      <c r="H419" t="n">
        <v>240000</v>
      </c>
      <c r="I419" t="n">
        <v>240000</v>
      </c>
      <c r="J419" t="inlineStr">
        <is>
          <t>efectivo</t>
        </is>
      </c>
    </row>
    <row r="420">
      <c r="A420" s="3" t="n">
        <v>46036</v>
      </c>
      <c r="B420" t="inlineStr">
        <is>
          <t>Jesus Morales Yuliana Olivares</t>
        </is>
      </c>
      <c r="C420" t="inlineStr">
        <is>
          <t>Bajaj KFK 1AH</t>
        </is>
      </c>
      <c r="D420" t="inlineStr">
        <is>
          <t>KFK1AH</t>
        </is>
      </c>
      <c r="H420" t="n">
        <v>240000</v>
      </c>
      <c r="I420" t="n">
        <v>240000</v>
      </c>
      <c r="J420" t="inlineStr">
        <is>
          <t>efectivo</t>
        </is>
      </c>
    </row>
    <row r="421">
      <c r="A421" s="3" t="n">
        <v>46045</v>
      </c>
      <c r="B421" t="inlineStr">
        <is>
          <t>Jesus Morales Yuliana Olivares</t>
        </is>
      </c>
      <c r="C421" t="inlineStr">
        <is>
          <t>Bajaj KFK 1AH</t>
        </is>
      </c>
      <c r="D421" t="inlineStr">
        <is>
          <t>KFK1AH</t>
        </is>
      </c>
      <c r="H421" t="n">
        <v>240000</v>
      </c>
      <c r="I421" t="n">
        <v>240000</v>
      </c>
      <c r="J421" t="inlineStr">
        <is>
          <t>efectivo</t>
        </is>
      </c>
    </row>
    <row r="422">
      <c r="A422" s="3" t="n">
        <v>46054</v>
      </c>
      <c r="B422" t="inlineStr">
        <is>
          <t>Jesus Morales Yuliana Olivares</t>
        </is>
      </c>
      <c r="C422" t="inlineStr">
        <is>
          <t>Bajaj KFK 1AH</t>
        </is>
      </c>
      <c r="D422" t="inlineStr">
        <is>
          <t>KFK1AH</t>
        </is>
      </c>
      <c r="H422" t="n">
        <v>240000</v>
      </c>
      <c r="I422" t="n">
        <v>240000</v>
      </c>
      <c r="J422" t="inlineStr">
        <is>
          <t>efectivo</t>
        </is>
      </c>
    </row>
    <row r="423">
      <c r="A423" s="3" t="n">
        <v>46063</v>
      </c>
      <c r="B423" t="inlineStr">
        <is>
          <t>Jesus Morales Yuliana Olivares</t>
        </is>
      </c>
      <c r="C423" t="inlineStr">
        <is>
          <t>Bajaj KFK 1AH</t>
        </is>
      </c>
      <c r="D423" t="inlineStr">
        <is>
          <t>KFK1AH</t>
        </is>
      </c>
      <c r="H423" t="n">
        <v>240000</v>
      </c>
      <c r="I423" t="n">
        <v>240000</v>
      </c>
      <c r="J423" t="inlineStr">
        <is>
          <t>efectivo</t>
        </is>
      </c>
    </row>
    <row r="424">
      <c r="A424" s="3" t="n">
        <v>46071</v>
      </c>
      <c r="B424" t="inlineStr">
        <is>
          <t>Jesus Morales Yuliana Olivares</t>
        </is>
      </c>
      <c r="C424" t="inlineStr">
        <is>
          <t>Bajaj KFK 1AH</t>
        </is>
      </c>
      <c r="D424" t="inlineStr">
        <is>
          <t>KFK1AH</t>
        </is>
      </c>
      <c r="H424" t="n">
        <v>240000</v>
      </c>
      <c r="I424" t="n">
        <v>240000</v>
      </c>
      <c r="J424" t="inlineStr">
        <is>
          <t>efectivo</t>
        </is>
      </c>
    </row>
    <row r="425">
      <c r="A425" s="3" t="n">
        <v>46080</v>
      </c>
      <c r="B425" t="inlineStr">
        <is>
          <t>Jesus Morales Yuliana Olivares</t>
        </is>
      </c>
      <c r="C425" t="inlineStr">
        <is>
          <t>Bajaj KFK 1AH</t>
        </is>
      </c>
      <c r="D425" t="inlineStr">
        <is>
          <t>KFK1AH</t>
        </is>
      </c>
      <c r="H425" t="n">
        <v>240000</v>
      </c>
      <c r="I425" t="n">
        <v>240000</v>
      </c>
      <c r="J425" t="inlineStr">
        <is>
          <t>efectivo</t>
        </is>
      </c>
    </row>
    <row r="426">
      <c r="A426" s="3" t="n">
        <v>46089</v>
      </c>
      <c r="B426" t="inlineStr">
        <is>
          <t>Jesus Morales Yuliana Olivares</t>
        </is>
      </c>
      <c r="C426" t="inlineStr">
        <is>
          <t>Bajaj KFK 1AH</t>
        </is>
      </c>
      <c r="D426" t="inlineStr">
        <is>
          <t>KFK1AH</t>
        </is>
      </c>
      <c r="H426" t="n">
        <v>240000</v>
      </c>
      <c r="I426" t="n">
        <v>240000</v>
      </c>
      <c r="J426" t="inlineStr">
        <is>
          <t>efectivo</t>
        </is>
      </c>
    </row>
    <row r="427">
      <c r="A427" s="3" t="n">
        <v>46099</v>
      </c>
      <c r="B427" t="inlineStr">
        <is>
          <t>Jesus Morales Yuliana Olivares</t>
        </is>
      </c>
      <c r="C427" t="inlineStr">
        <is>
          <t>Bajaj KFK 1AH</t>
        </is>
      </c>
      <c r="D427" t="inlineStr">
        <is>
          <t>KFK1AH</t>
        </is>
      </c>
      <c r="H427" t="n">
        <v>240000</v>
      </c>
      <c r="I427" t="n">
        <v>240000</v>
      </c>
      <c r="J427" t="inlineStr">
        <is>
          <t>efectivo</t>
        </is>
      </c>
    </row>
    <row r="428">
      <c r="A428" s="3" t="n">
        <v>46107</v>
      </c>
      <c r="B428" t="inlineStr">
        <is>
          <t>Jesus Morales Yuliana Olivares</t>
        </is>
      </c>
      <c r="C428" t="inlineStr">
        <is>
          <t>Bajaj KFK 1AH</t>
        </is>
      </c>
      <c r="D428" t="inlineStr">
        <is>
          <t>KFK1AH</t>
        </is>
      </c>
      <c r="H428" t="n">
        <v>240000</v>
      </c>
      <c r="I428" t="n">
        <v>240000</v>
      </c>
      <c r="J428" t="inlineStr">
        <is>
          <t>efectivo</t>
        </is>
      </c>
    </row>
    <row r="429">
      <c r="A429" s="3" t="n">
        <v>46118</v>
      </c>
      <c r="B429" t="inlineStr">
        <is>
          <t>Jesus Morales Yuliana Olivares</t>
        </is>
      </c>
      <c r="C429" t="inlineStr">
        <is>
          <t>Bajaj KFK 1AH</t>
        </is>
      </c>
      <c r="D429" t="inlineStr">
        <is>
          <t>KFK1AH</t>
        </is>
      </c>
      <c r="H429" t="n">
        <v>240000</v>
      </c>
      <c r="I429" t="n">
        <v>240000</v>
      </c>
      <c r="J429" t="inlineStr">
        <is>
          <t>efectivo</t>
        </is>
      </c>
    </row>
    <row r="430">
      <c r="A430" s="3" t="n">
        <v>46126</v>
      </c>
      <c r="B430" t="inlineStr">
        <is>
          <t>Jesus Morales Yuliana Olivares</t>
        </is>
      </c>
      <c r="C430" t="inlineStr">
        <is>
          <t>Bajaj KFK 1AH</t>
        </is>
      </c>
      <c r="D430" t="inlineStr">
        <is>
          <t>KFK1AH</t>
        </is>
      </c>
      <c r="H430" t="n">
        <v>240000</v>
      </c>
      <c r="I430" t="n">
        <v>240000</v>
      </c>
      <c r="J430" t="inlineStr">
        <is>
          <t>efectivo</t>
        </is>
      </c>
    </row>
    <row r="431">
      <c r="A431" s="3" t="n">
        <v>46135</v>
      </c>
      <c r="B431" t="inlineStr">
        <is>
          <t>Jesus Morales Yuliana Olivares</t>
        </is>
      </c>
      <c r="C431" t="inlineStr">
        <is>
          <t>Bajaj KFK 1AH</t>
        </is>
      </c>
      <c r="D431" t="inlineStr">
        <is>
          <t>KFK1AH</t>
        </is>
      </c>
      <c r="H431" t="n">
        <v>240000</v>
      </c>
      <c r="I431" t="n">
        <v>240000</v>
      </c>
      <c r="J431" t="inlineStr">
        <is>
          <t>efectivo</t>
        </is>
      </c>
    </row>
    <row r="432">
      <c r="A432" s="3" t="n">
        <v>46144</v>
      </c>
      <c r="B432" t="inlineStr">
        <is>
          <t>Jesus Morales Yuliana Olivares</t>
        </is>
      </c>
      <c r="C432" t="inlineStr">
        <is>
          <t>Bajaj KFK 1AH</t>
        </is>
      </c>
      <c r="D432" t="inlineStr">
        <is>
          <t>KFK1AH</t>
        </is>
      </c>
      <c r="H432" t="n">
        <v>240000</v>
      </c>
      <c r="I432" t="n">
        <v>240000</v>
      </c>
      <c r="J432" t="inlineStr">
        <is>
          <t>efectivo</t>
        </is>
      </c>
    </row>
    <row r="433">
      <c r="A433" s="3" t="n">
        <v>46152</v>
      </c>
      <c r="B433" t="inlineStr">
        <is>
          <t>Jesus Morales Yuliana Olivares</t>
        </is>
      </c>
      <c r="C433" t="inlineStr">
        <is>
          <t>Bajaj KFK 1AH</t>
        </is>
      </c>
      <c r="D433" t="inlineStr">
        <is>
          <t>KFK1AH</t>
        </is>
      </c>
      <c r="H433" t="n">
        <v>240000</v>
      </c>
      <c r="I433" t="n">
        <v>240000</v>
      </c>
      <c r="J433" t="inlineStr">
        <is>
          <t>efectivo</t>
        </is>
      </c>
    </row>
    <row r="434">
      <c r="A434" s="3" t="n">
        <v>46160</v>
      </c>
      <c r="B434" t="inlineStr">
        <is>
          <t>Jesus Morales Yuliana Olivares</t>
        </is>
      </c>
      <c r="C434" t="inlineStr">
        <is>
          <t>Bajaj KFK 1AH</t>
        </is>
      </c>
      <c r="D434" t="inlineStr">
        <is>
          <t>KFK1AH</t>
        </is>
      </c>
      <c r="H434" t="n">
        <v>240000</v>
      </c>
      <c r="I434" t="n">
        <v>240000</v>
      </c>
      <c r="J434" t="inlineStr">
        <is>
          <t>efectivo</t>
        </is>
      </c>
    </row>
    <row r="435">
      <c r="A435" s="3" t="n">
        <v>46168</v>
      </c>
      <c r="B435" t="inlineStr">
        <is>
          <t>Jesus Morales Yuliana Olivares</t>
        </is>
      </c>
      <c r="C435" t="inlineStr">
        <is>
          <t>Bajaj KFK 1AH</t>
        </is>
      </c>
      <c r="D435" t="inlineStr">
        <is>
          <t>KFK1AH</t>
        </is>
      </c>
      <c r="H435" t="n">
        <v>240000</v>
      </c>
      <c r="I435" t="n">
        <v>240000</v>
      </c>
      <c r="J435" t="inlineStr">
        <is>
          <t>efectivo</t>
        </is>
      </c>
    </row>
    <row r="436">
      <c r="A436" s="3" t="n">
        <v>46176</v>
      </c>
      <c r="B436" t="inlineStr">
        <is>
          <t>Jesus Morales Yuliana Olivares</t>
        </is>
      </c>
      <c r="C436" t="inlineStr">
        <is>
          <t>Bajaj KFK 1AH</t>
        </is>
      </c>
      <c r="D436" t="inlineStr">
        <is>
          <t>KFK1AH</t>
        </is>
      </c>
      <c r="H436" t="n">
        <v>240000</v>
      </c>
      <c r="I436" t="n">
        <v>240000</v>
      </c>
      <c r="J436" t="inlineStr">
        <is>
          <t>efectivo</t>
        </is>
      </c>
    </row>
    <row r="437">
      <c r="A437" s="3" t="n">
        <v>46185</v>
      </c>
      <c r="B437" t="inlineStr">
        <is>
          <t>Jesus Morales Yuliana Olivares</t>
        </is>
      </c>
      <c r="C437" t="inlineStr">
        <is>
          <t>Bajaj KFK 1AH</t>
        </is>
      </c>
      <c r="D437" t="inlineStr">
        <is>
          <t>KFK1AH</t>
        </is>
      </c>
      <c r="H437" t="n">
        <v>240000</v>
      </c>
      <c r="I437" t="n">
        <v>240000</v>
      </c>
      <c r="J437" t="inlineStr">
        <is>
          <t>efectivo</t>
        </is>
      </c>
    </row>
    <row r="438">
      <c r="A438" s="3" t="n">
        <v>46194</v>
      </c>
      <c r="B438" t="inlineStr">
        <is>
          <t>Jesus Morales Yuliana Olivares</t>
        </is>
      </c>
      <c r="C438" t="inlineStr">
        <is>
          <t>Bajaj KFK 1AH</t>
        </is>
      </c>
      <c r="D438" t="inlineStr">
        <is>
          <t>KFK1AH</t>
        </is>
      </c>
      <c r="H438" t="n">
        <v>240000</v>
      </c>
      <c r="I438" t="n">
        <v>240000</v>
      </c>
      <c r="J438" t="inlineStr">
        <is>
          <t>efectivo</t>
        </is>
      </c>
    </row>
    <row r="439">
      <c r="A439" s="3" t="n">
        <v>46203</v>
      </c>
      <c r="B439" t="inlineStr">
        <is>
          <t>Jesus Morales Yuliana Olivares</t>
        </is>
      </c>
      <c r="C439" t="inlineStr">
        <is>
          <t>Bajaj KFK 1AH</t>
        </is>
      </c>
      <c r="D439" t="inlineStr">
        <is>
          <t>KFK1AH</t>
        </is>
      </c>
      <c r="H439" t="n">
        <v>240000</v>
      </c>
      <c r="I439" t="n">
        <v>240000</v>
      </c>
      <c r="J439" t="inlineStr">
        <is>
          <t>efectivo</t>
        </is>
      </c>
    </row>
    <row r="440">
      <c r="A440" s="3" t="n">
        <v>46211</v>
      </c>
      <c r="B440" t="inlineStr">
        <is>
          <t>Jesus Morales Yuliana Olivares</t>
        </is>
      </c>
      <c r="C440" t="inlineStr">
        <is>
          <t>Bajaj KFK 1AH</t>
        </is>
      </c>
      <c r="D440" t="inlineStr">
        <is>
          <t>KFK1AH</t>
        </is>
      </c>
      <c r="H440" t="n">
        <v>240000</v>
      </c>
      <c r="I440" t="n">
        <v>240000</v>
      </c>
      <c r="J440" t="inlineStr">
        <is>
          <t>efectivo</t>
        </is>
      </c>
    </row>
    <row r="441">
      <c r="A441" s="3" t="n">
        <v>46217</v>
      </c>
      <c r="B441" t="inlineStr">
        <is>
          <t>Jesus Morales Yuliana Olivares</t>
        </is>
      </c>
      <c r="C441" t="inlineStr">
        <is>
          <t>Bajaj KFK 1AH</t>
        </is>
      </c>
      <c r="D441" t="inlineStr">
        <is>
          <t>KFK1AH</t>
        </is>
      </c>
      <c r="H441" t="n">
        <v>240000</v>
      </c>
      <c r="I441" t="n">
        <v>240000</v>
      </c>
      <c r="J441" t="inlineStr">
        <is>
          <t>efectivo</t>
        </is>
      </c>
    </row>
    <row r="442">
      <c r="A442" s="3" t="n">
        <v>45792</v>
      </c>
      <c r="B442" t="inlineStr">
        <is>
          <t>Osmed Brenda</t>
        </is>
      </c>
      <c r="C442" t="inlineStr">
        <is>
          <t>Bajaj OSZ 46H</t>
        </is>
      </c>
      <c r="D442" t="inlineStr">
        <is>
          <t>OSZ46H</t>
        </is>
      </c>
      <c r="H442" t="n">
        <v>240000</v>
      </c>
      <c r="I442" t="n">
        <v>240000</v>
      </c>
      <c r="J442" t="inlineStr">
        <is>
          <t>efectivo</t>
        </is>
      </c>
    </row>
    <row r="443">
      <c r="A443" s="3" t="n">
        <v>45799</v>
      </c>
      <c r="B443" t="inlineStr">
        <is>
          <t>Osmed Brenda</t>
        </is>
      </c>
      <c r="C443" t="inlineStr">
        <is>
          <t>Bajaj OSZ 46H</t>
        </is>
      </c>
      <c r="D443" t="inlineStr">
        <is>
          <t>OSZ46H</t>
        </is>
      </c>
      <c r="H443" t="n">
        <v>240000</v>
      </c>
      <c r="I443" t="n">
        <v>240000</v>
      </c>
      <c r="J443" t="inlineStr">
        <is>
          <t>efectivo</t>
        </is>
      </c>
    </row>
    <row r="444">
      <c r="A444" s="3" t="n">
        <v>45806</v>
      </c>
      <c r="B444" t="inlineStr">
        <is>
          <t>Osmed Brenda</t>
        </is>
      </c>
      <c r="C444" t="inlineStr">
        <is>
          <t>Bajaj OSZ 46H</t>
        </is>
      </c>
      <c r="D444" t="inlineStr">
        <is>
          <t>OSZ46H</t>
        </is>
      </c>
      <c r="H444" t="n">
        <v>240000</v>
      </c>
      <c r="I444" t="n">
        <v>240000</v>
      </c>
      <c r="J444" t="inlineStr">
        <is>
          <t>efectivo</t>
        </is>
      </c>
    </row>
    <row r="445">
      <c r="A445" s="3" t="n">
        <v>45813</v>
      </c>
      <c r="B445" t="inlineStr">
        <is>
          <t>Osmed Brenda</t>
        </is>
      </c>
      <c r="C445" t="inlineStr">
        <is>
          <t>Bajaj OSZ 46H</t>
        </is>
      </c>
      <c r="D445" t="inlineStr">
        <is>
          <t>OSZ46H</t>
        </is>
      </c>
      <c r="H445" t="n">
        <v>240000</v>
      </c>
      <c r="I445" t="n">
        <v>240000</v>
      </c>
      <c r="J445" t="inlineStr">
        <is>
          <t>efectivo</t>
        </is>
      </c>
    </row>
    <row r="446">
      <c r="A446" s="3" t="n">
        <v>45820</v>
      </c>
      <c r="B446" t="inlineStr">
        <is>
          <t>Osmed Brenda</t>
        </is>
      </c>
      <c r="C446" t="inlineStr">
        <is>
          <t>Bajaj OSZ 46H</t>
        </is>
      </c>
      <c r="D446" t="inlineStr">
        <is>
          <t>OSZ46H</t>
        </is>
      </c>
      <c r="H446" t="n">
        <v>240000</v>
      </c>
      <c r="I446" t="n">
        <v>240000</v>
      </c>
      <c r="J446" t="inlineStr">
        <is>
          <t>efectivo</t>
        </is>
      </c>
    </row>
    <row r="447">
      <c r="A447" s="3" t="n">
        <v>45828</v>
      </c>
      <c r="B447" t="inlineStr">
        <is>
          <t>Osmed Brenda</t>
        </is>
      </c>
      <c r="C447" t="inlineStr">
        <is>
          <t>Bajaj OSZ 46H</t>
        </is>
      </c>
      <c r="D447" t="inlineStr">
        <is>
          <t>OSZ46H</t>
        </is>
      </c>
      <c r="H447" t="n">
        <v>240000</v>
      </c>
      <c r="I447" t="n">
        <v>240000</v>
      </c>
      <c r="J447" t="inlineStr">
        <is>
          <t>efectivo</t>
        </is>
      </c>
    </row>
    <row r="448">
      <c r="A448" s="3" t="n">
        <v>45835</v>
      </c>
      <c r="B448" t="inlineStr">
        <is>
          <t>Osmed Brenda</t>
        </is>
      </c>
      <c r="C448" t="inlineStr">
        <is>
          <t>Bajaj OSZ 46H</t>
        </is>
      </c>
      <c r="D448" t="inlineStr">
        <is>
          <t>OSZ46H</t>
        </is>
      </c>
      <c r="H448" t="n">
        <v>240000</v>
      </c>
      <c r="I448" t="n">
        <v>240000</v>
      </c>
      <c r="J448" t="inlineStr">
        <is>
          <t>efectivo</t>
        </is>
      </c>
    </row>
    <row r="449">
      <c r="A449" s="3" t="n">
        <v>45842</v>
      </c>
      <c r="B449" t="inlineStr">
        <is>
          <t>Osmed Brenda</t>
        </is>
      </c>
      <c r="C449" t="inlineStr">
        <is>
          <t>Bajaj OSZ 46H</t>
        </is>
      </c>
      <c r="D449" t="inlineStr">
        <is>
          <t>OSZ46H</t>
        </is>
      </c>
      <c r="H449" t="n">
        <v>240000</v>
      </c>
      <c r="I449" t="n">
        <v>240000</v>
      </c>
      <c r="J449" t="inlineStr">
        <is>
          <t>efectivo</t>
        </is>
      </c>
    </row>
    <row r="450">
      <c r="A450" s="3" t="n">
        <v>45849</v>
      </c>
      <c r="B450" t="inlineStr">
        <is>
          <t>Osmed Brenda</t>
        </is>
      </c>
      <c r="C450" t="inlineStr">
        <is>
          <t>Bajaj OSZ 46H</t>
        </is>
      </c>
      <c r="D450" t="inlineStr">
        <is>
          <t>OSZ46H</t>
        </is>
      </c>
      <c r="H450" t="n">
        <v>240000</v>
      </c>
      <c r="I450" t="n">
        <v>240000</v>
      </c>
      <c r="J450" t="inlineStr">
        <is>
          <t>efectivo</t>
        </is>
      </c>
    </row>
    <row r="451">
      <c r="A451" s="3" t="n">
        <v>45856</v>
      </c>
      <c r="B451" t="inlineStr">
        <is>
          <t>Osmed Brenda</t>
        </is>
      </c>
      <c r="C451" t="inlineStr">
        <is>
          <t>Bajaj OSZ 46H</t>
        </is>
      </c>
      <c r="D451" t="inlineStr">
        <is>
          <t>OSZ46H</t>
        </is>
      </c>
      <c r="H451" t="n">
        <v>240000</v>
      </c>
      <c r="I451" t="n">
        <v>240000</v>
      </c>
      <c r="J451" t="inlineStr">
        <is>
          <t>efectivo</t>
        </is>
      </c>
    </row>
    <row r="452">
      <c r="A452" s="3" t="n">
        <v>45863</v>
      </c>
      <c r="B452" t="inlineStr">
        <is>
          <t>Osmed Brenda</t>
        </is>
      </c>
      <c r="C452" t="inlineStr">
        <is>
          <t>Bajaj OSZ 46H</t>
        </is>
      </c>
      <c r="D452" t="inlineStr">
        <is>
          <t>OSZ46H</t>
        </is>
      </c>
      <c r="H452" t="n">
        <v>240000</v>
      </c>
      <c r="I452" t="n">
        <v>240000</v>
      </c>
      <c r="J452" t="inlineStr">
        <is>
          <t>efectivo</t>
        </is>
      </c>
    </row>
    <row r="453">
      <c r="A453" s="3" t="n">
        <v>45870</v>
      </c>
      <c r="B453" t="inlineStr">
        <is>
          <t>Osmed Brenda</t>
        </is>
      </c>
      <c r="C453" t="inlineStr">
        <is>
          <t>Bajaj OSZ 46H</t>
        </is>
      </c>
      <c r="D453" t="inlineStr">
        <is>
          <t>OSZ46H</t>
        </is>
      </c>
      <c r="H453" t="n">
        <v>240000</v>
      </c>
      <c r="I453" t="n">
        <v>240000</v>
      </c>
      <c r="J453" t="inlineStr">
        <is>
          <t>efectivo</t>
        </is>
      </c>
    </row>
    <row r="454">
      <c r="A454" s="3" t="n">
        <v>45878</v>
      </c>
      <c r="B454" t="inlineStr">
        <is>
          <t>Osmed Brenda</t>
        </is>
      </c>
      <c r="C454" t="inlineStr">
        <is>
          <t>Bajaj OSZ 46H</t>
        </is>
      </c>
      <c r="D454" t="inlineStr">
        <is>
          <t>OSZ46H</t>
        </is>
      </c>
      <c r="H454" t="n">
        <v>240000</v>
      </c>
      <c r="I454" t="n">
        <v>240000</v>
      </c>
      <c r="J454" t="inlineStr">
        <is>
          <t>efectivo</t>
        </is>
      </c>
    </row>
    <row r="455">
      <c r="A455" s="3" t="n">
        <v>45885</v>
      </c>
      <c r="B455" t="inlineStr">
        <is>
          <t>Osmed Brenda</t>
        </is>
      </c>
      <c r="C455" t="inlineStr">
        <is>
          <t>Bajaj OSZ 46H</t>
        </is>
      </c>
      <c r="D455" t="inlineStr">
        <is>
          <t>OSZ46H</t>
        </is>
      </c>
      <c r="H455" t="n">
        <v>240000</v>
      </c>
      <c r="I455" t="n">
        <v>240000</v>
      </c>
      <c r="J455" t="inlineStr">
        <is>
          <t>efectivo</t>
        </is>
      </c>
    </row>
    <row r="456">
      <c r="A456" s="3" t="n">
        <v>45892</v>
      </c>
      <c r="B456" t="inlineStr">
        <is>
          <t>Osmed Brenda</t>
        </is>
      </c>
      <c r="C456" t="inlineStr">
        <is>
          <t>Bajaj OSZ 46H</t>
        </is>
      </c>
      <c r="D456" t="inlineStr">
        <is>
          <t>OSZ46H</t>
        </is>
      </c>
      <c r="H456" t="n">
        <v>240000</v>
      </c>
      <c r="I456" t="n">
        <v>240000</v>
      </c>
      <c r="J456" t="inlineStr">
        <is>
          <t>efectivo</t>
        </is>
      </c>
    </row>
    <row r="457">
      <c r="A457" s="3" t="n">
        <v>45900</v>
      </c>
      <c r="B457" t="inlineStr">
        <is>
          <t>Osmed Brenda</t>
        </is>
      </c>
      <c r="C457" t="inlineStr">
        <is>
          <t>Bajaj OSZ 46H</t>
        </is>
      </c>
      <c r="D457" t="inlineStr">
        <is>
          <t>OSZ46H</t>
        </is>
      </c>
      <c r="H457" t="n">
        <v>240000</v>
      </c>
      <c r="I457" t="n">
        <v>240000</v>
      </c>
      <c r="J457" t="inlineStr">
        <is>
          <t>efectivo</t>
        </is>
      </c>
    </row>
    <row r="458">
      <c r="A458" s="3" t="n">
        <v>45907</v>
      </c>
      <c r="B458" t="inlineStr">
        <is>
          <t>Osmed Brenda</t>
        </is>
      </c>
      <c r="C458" t="inlineStr">
        <is>
          <t>Bajaj OSZ 46H</t>
        </is>
      </c>
      <c r="D458" t="inlineStr">
        <is>
          <t>OSZ46H</t>
        </is>
      </c>
      <c r="H458" t="n">
        <v>240000</v>
      </c>
      <c r="I458" t="n">
        <v>240000</v>
      </c>
      <c r="J458" t="inlineStr">
        <is>
          <t>efectivo</t>
        </is>
      </c>
    </row>
    <row r="459">
      <c r="A459" s="3" t="n">
        <v>45914</v>
      </c>
      <c r="B459" t="inlineStr">
        <is>
          <t>Osmed Brenda</t>
        </is>
      </c>
      <c r="C459" t="inlineStr">
        <is>
          <t>Bajaj OSZ 46H</t>
        </is>
      </c>
      <c r="D459" t="inlineStr">
        <is>
          <t>OSZ46H</t>
        </is>
      </c>
      <c r="H459" t="n">
        <v>240000</v>
      </c>
      <c r="I459" t="n">
        <v>240000</v>
      </c>
      <c r="J459" t="inlineStr">
        <is>
          <t>efectivo</t>
        </is>
      </c>
    </row>
    <row r="460">
      <c r="A460" s="3" t="n">
        <v>45921</v>
      </c>
      <c r="B460" t="inlineStr">
        <is>
          <t>Osmed Brenda</t>
        </is>
      </c>
      <c r="C460" t="inlineStr">
        <is>
          <t>Bajaj OSZ 46H</t>
        </is>
      </c>
      <c r="D460" t="inlineStr">
        <is>
          <t>OSZ46H</t>
        </is>
      </c>
      <c r="H460" t="n">
        <v>240000</v>
      </c>
      <c r="I460" t="n">
        <v>240000</v>
      </c>
      <c r="J460" t="inlineStr">
        <is>
          <t>efectivo</t>
        </is>
      </c>
    </row>
    <row r="461">
      <c r="A461" s="3" t="n">
        <v>45927</v>
      </c>
      <c r="B461" t="inlineStr">
        <is>
          <t>Osmed Brenda</t>
        </is>
      </c>
      <c r="C461" t="inlineStr">
        <is>
          <t>Bajaj OSZ 46H</t>
        </is>
      </c>
      <c r="D461" t="inlineStr">
        <is>
          <t>OSZ46H</t>
        </is>
      </c>
      <c r="H461" t="n">
        <v>240000</v>
      </c>
      <c r="I461" t="n">
        <v>240000</v>
      </c>
      <c r="J461" t="inlineStr">
        <is>
          <t>efectivo</t>
        </is>
      </c>
    </row>
    <row r="462">
      <c r="A462" s="3" t="n">
        <v>45934</v>
      </c>
      <c r="B462" t="inlineStr">
        <is>
          <t>Osmed Brenda</t>
        </is>
      </c>
      <c r="C462" t="inlineStr">
        <is>
          <t>Bajaj OSZ 46H</t>
        </is>
      </c>
      <c r="D462" t="inlineStr">
        <is>
          <t>OSZ46H</t>
        </is>
      </c>
      <c r="H462" t="n">
        <v>240000</v>
      </c>
      <c r="I462" t="n">
        <v>240000</v>
      </c>
      <c r="J462" t="inlineStr">
        <is>
          <t>efectivo</t>
        </is>
      </c>
    </row>
    <row r="463">
      <c r="A463" s="3" t="n">
        <v>45941</v>
      </c>
      <c r="B463" t="inlineStr">
        <is>
          <t>Osmed Brenda</t>
        </is>
      </c>
      <c r="C463" t="inlineStr">
        <is>
          <t>Bajaj OSZ 46H</t>
        </is>
      </c>
      <c r="D463" t="inlineStr">
        <is>
          <t>OSZ46H</t>
        </is>
      </c>
      <c r="H463" t="n">
        <v>240000</v>
      </c>
      <c r="I463" t="n">
        <v>240000</v>
      </c>
      <c r="J463" t="inlineStr">
        <is>
          <t>efectivo</t>
        </is>
      </c>
    </row>
    <row r="464">
      <c r="A464" s="3" t="n">
        <v>45948</v>
      </c>
      <c r="B464" t="inlineStr">
        <is>
          <t>Osmed Brenda</t>
        </is>
      </c>
      <c r="C464" t="inlineStr">
        <is>
          <t>Bajaj OSZ 46H</t>
        </is>
      </c>
      <c r="D464" t="inlineStr">
        <is>
          <t>OSZ46H</t>
        </is>
      </c>
      <c r="H464" t="n">
        <v>240000</v>
      </c>
      <c r="I464" t="n">
        <v>240000</v>
      </c>
      <c r="J464" t="inlineStr">
        <is>
          <t>efectivo</t>
        </is>
      </c>
    </row>
    <row r="465">
      <c r="A465" s="3" t="n">
        <v>45955</v>
      </c>
      <c r="B465" t="inlineStr">
        <is>
          <t>Osmed Brenda</t>
        </is>
      </c>
      <c r="C465" t="inlineStr">
        <is>
          <t>Bajaj OSZ 46H</t>
        </is>
      </c>
      <c r="D465" t="inlineStr">
        <is>
          <t>OSZ46H</t>
        </is>
      </c>
      <c r="H465" t="n">
        <v>240000</v>
      </c>
      <c r="I465" t="n">
        <v>240000</v>
      </c>
      <c r="J465" t="inlineStr">
        <is>
          <t>efectivo</t>
        </is>
      </c>
    </row>
    <row r="466">
      <c r="A466" s="3" t="n">
        <v>45962</v>
      </c>
      <c r="B466" t="inlineStr">
        <is>
          <t>Osmed Brenda</t>
        </is>
      </c>
      <c r="C466" t="inlineStr">
        <is>
          <t>Bajaj OSZ 46H</t>
        </is>
      </c>
      <c r="D466" t="inlineStr">
        <is>
          <t>OSZ46H</t>
        </is>
      </c>
      <c r="H466" t="n">
        <v>240000</v>
      </c>
      <c r="I466" t="n">
        <v>240000</v>
      </c>
      <c r="J466" t="inlineStr">
        <is>
          <t>efectivo</t>
        </is>
      </c>
    </row>
    <row r="467">
      <c r="A467" s="3" t="n">
        <v>45970</v>
      </c>
      <c r="B467" t="inlineStr">
        <is>
          <t>Osmed Brenda</t>
        </is>
      </c>
      <c r="C467" t="inlineStr">
        <is>
          <t>Bajaj OSZ 46H</t>
        </is>
      </c>
      <c r="D467" t="inlineStr">
        <is>
          <t>OSZ46H</t>
        </is>
      </c>
      <c r="H467" t="n">
        <v>240000</v>
      </c>
      <c r="I467" t="n">
        <v>240000</v>
      </c>
      <c r="J467" t="inlineStr">
        <is>
          <t>efectivo</t>
        </is>
      </c>
    </row>
    <row r="468">
      <c r="A468" s="3" t="n">
        <v>45981</v>
      </c>
      <c r="B468" t="inlineStr">
        <is>
          <t>Osmed Brenda</t>
        </is>
      </c>
      <c r="C468" t="inlineStr">
        <is>
          <t>Bajaj OSZ 46H</t>
        </is>
      </c>
      <c r="D468" t="inlineStr">
        <is>
          <t>OSZ46H</t>
        </is>
      </c>
      <c r="H468" t="n">
        <v>240000</v>
      </c>
      <c r="I468" t="n">
        <v>240000</v>
      </c>
      <c r="J468" t="inlineStr">
        <is>
          <t>efectivo</t>
        </is>
      </c>
    </row>
    <row r="469">
      <c r="A469" s="3" t="n">
        <v>45989</v>
      </c>
      <c r="B469" t="inlineStr">
        <is>
          <t>Osmed Brenda</t>
        </is>
      </c>
      <c r="C469" t="inlineStr">
        <is>
          <t>Bajaj OSZ 46H</t>
        </is>
      </c>
      <c r="D469" t="inlineStr">
        <is>
          <t>OSZ46H</t>
        </is>
      </c>
      <c r="H469" t="n">
        <v>240000</v>
      </c>
      <c r="I469" t="n">
        <v>240000</v>
      </c>
      <c r="J469" t="inlineStr">
        <is>
          <t>efectivo</t>
        </is>
      </c>
    </row>
    <row r="470">
      <c r="A470" s="3" t="n">
        <v>45995</v>
      </c>
      <c r="B470" t="inlineStr">
        <is>
          <t>Osmed Brenda</t>
        </is>
      </c>
      <c r="C470" t="inlineStr">
        <is>
          <t>Bajaj OSZ 46H</t>
        </is>
      </c>
      <c r="D470" t="inlineStr">
        <is>
          <t>OSZ46H</t>
        </is>
      </c>
      <c r="H470" t="n">
        <v>240000</v>
      </c>
      <c r="I470" t="n">
        <v>240000</v>
      </c>
      <c r="J470" t="inlineStr">
        <is>
          <t>efectivo</t>
        </is>
      </c>
    </row>
    <row r="471">
      <c r="A471" s="3" t="n">
        <v>46002</v>
      </c>
      <c r="B471" t="inlineStr">
        <is>
          <t>Osmed Brenda</t>
        </is>
      </c>
      <c r="C471" t="inlineStr">
        <is>
          <t>Bajaj OSZ 46H</t>
        </is>
      </c>
      <c r="D471" t="inlineStr">
        <is>
          <t>OSZ46H</t>
        </is>
      </c>
      <c r="H471" t="n">
        <v>240000</v>
      </c>
      <c r="I471" t="n">
        <v>240000</v>
      </c>
      <c r="J471" t="inlineStr">
        <is>
          <t>efectivo</t>
        </is>
      </c>
    </row>
    <row r="472">
      <c r="A472" s="3" t="n">
        <v>46009</v>
      </c>
      <c r="B472" t="inlineStr">
        <is>
          <t>Osmed Brenda</t>
        </is>
      </c>
      <c r="C472" t="inlineStr">
        <is>
          <t>Bajaj OSZ 46H</t>
        </is>
      </c>
      <c r="D472" t="inlineStr">
        <is>
          <t>OSZ46H</t>
        </is>
      </c>
      <c r="H472" t="n">
        <v>240000</v>
      </c>
      <c r="I472" t="n">
        <v>240000</v>
      </c>
      <c r="J472" t="inlineStr">
        <is>
          <t>efectivo</t>
        </is>
      </c>
    </row>
    <row r="473">
      <c r="A473" s="3" t="n">
        <v>46018</v>
      </c>
      <c r="B473" t="inlineStr">
        <is>
          <t>Osmed Brenda</t>
        </is>
      </c>
      <c r="C473" t="inlineStr">
        <is>
          <t>Bajaj OSZ 46H</t>
        </is>
      </c>
      <c r="D473" t="inlineStr">
        <is>
          <t>OSZ46H</t>
        </is>
      </c>
      <c r="H473" t="n">
        <v>240000</v>
      </c>
      <c r="I473" t="n">
        <v>240000</v>
      </c>
      <c r="J473" t="inlineStr">
        <is>
          <t>efectivo</t>
        </is>
      </c>
    </row>
    <row r="474">
      <c r="A474" s="3" t="n">
        <v>46037</v>
      </c>
      <c r="B474" t="inlineStr">
        <is>
          <t>Osmed Brenda</t>
        </is>
      </c>
      <c r="C474" t="inlineStr">
        <is>
          <t>Bajaj OSZ 46H</t>
        </is>
      </c>
      <c r="D474" t="inlineStr">
        <is>
          <t>OSZ46H</t>
        </is>
      </c>
      <c r="H474" t="n">
        <v>240000</v>
      </c>
      <c r="I474" t="n">
        <v>240000</v>
      </c>
      <c r="J474" t="inlineStr">
        <is>
          <t>efectivo</t>
        </is>
      </c>
    </row>
    <row r="475">
      <c r="A475" s="3" t="n">
        <v>46045</v>
      </c>
      <c r="B475" t="inlineStr">
        <is>
          <t>Osmed Brenda</t>
        </is>
      </c>
      <c r="C475" t="inlineStr">
        <is>
          <t>Bajaj OSZ 46H</t>
        </is>
      </c>
      <c r="D475" t="inlineStr">
        <is>
          <t>OSZ46H</t>
        </is>
      </c>
      <c r="H475" t="n">
        <v>240000</v>
      </c>
      <c r="I475" t="n">
        <v>240000</v>
      </c>
      <c r="J475" t="inlineStr">
        <is>
          <t>efectivo</t>
        </is>
      </c>
    </row>
    <row r="476">
      <c r="A476" s="3" t="n">
        <v>46052</v>
      </c>
      <c r="B476" t="inlineStr">
        <is>
          <t>Osmed Brenda</t>
        </is>
      </c>
      <c r="C476" t="inlineStr">
        <is>
          <t>Bajaj OSZ 46H</t>
        </is>
      </c>
      <c r="D476" t="inlineStr">
        <is>
          <t>OSZ46H</t>
        </is>
      </c>
      <c r="H476" t="n">
        <v>240000</v>
      </c>
      <c r="I476" t="n">
        <v>240000</v>
      </c>
      <c r="J476" t="inlineStr">
        <is>
          <t>efectivo</t>
        </is>
      </c>
    </row>
    <row r="477">
      <c r="A477" s="3" t="n">
        <v>46061</v>
      </c>
      <c r="B477" t="inlineStr">
        <is>
          <t>Osmed Brenda</t>
        </is>
      </c>
      <c r="C477" t="inlineStr">
        <is>
          <t>Bajaj OSZ 46H</t>
        </is>
      </c>
      <c r="D477" t="inlineStr">
        <is>
          <t>OSZ46H</t>
        </is>
      </c>
      <c r="H477" t="n">
        <v>240000</v>
      </c>
      <c r="I477" t="n">
        <v>240000</v>
      </c>
      <c r="J477" t="inlineStr">
        <is>
          <t>efectivo</t>
        </is>
      </c>
    </row>
    <row r="478">
      <c r="A478" s="3" t="n">
        <v>46071</v>
      </c>
      <c r="B478" t="inlineStr">
        <is>
          <t>Osmed Brenda</t>
        </is>
      </c>
      <c r="C478" t="inlineStr">
        <is>
          <t>Bajaj OSZ 46H</t>
        </is>
      </c>
      <c r="D478" t="inlineStr">
        <is>
          <t>OSZ46H</t>
        </is>
      </c>
      <c r="H478" t="n">
        <v>240000</v>
      </c>
      <c r="I478" t="n">
        <v>240000</v>
      </c>
      <c r="J478" t="inlineStr">
        <is>
          <t>efectivo</t>
        </is>
      </c>
    </row>
    <row r="479">
      <c r="A479" s="3" t="n">
        <v>46078</v>
      </c>
      <c r="B479" t="inlineStr">
        <is>
          <t>Osmed Brenda</t>
        </is>
      </c>
      <c r="C479" t="inlineStr">
        <is>
          <t>Bajaj OSZ 46H</t>
        </is>
      </c>
      <c r="D479" t="inlineStr">
        <is>
          <t>OSZ46H</t>
        </is>
      </c>
      <c r="H479" t="n">
        <v>240000</v>
      </c>
      <c r="I479" t="n">
        <v>240000</v>
      </c>
      <c r="J479" t="inlineStr">
        <is>
          <t>efectivo</t>
        </is>
      </c>
    </row>
    <row r="480">
      <c r="A480" s="3" t="n">
        <v>46085</v>
      </c>
      <c r="B480" t="inlineStr">
        <is>
          <t>Osmed Brenda</t>
        </is>
      </c>
      <c r="C480" t="inlineStr">
        <is>
          <t>Bajaj OSZ 46H</t>
        </is>
      </c>
      <c r="D480" t="inlineStr">
        <is>
          <t>OSZ46H</t>
        </is>
      </c>
      <c r="H480" t="n">
        <v>240000</v>
      </c>
      <c r="I480" t="n">
        <v>240000</v>
      </c>
      <c r="J480" t="inlineStr">
        <is>
          <t>efectivo</t>
        </is>
      </c>
    </row>
    <row r="481">
      <c r="A481" s="3" t="n">
        <v>46092</v>
      </c>
      <c r="B481" t="inlineStr">
        <is>
          <t>Osmed Brenda</t>
        </is>
      </c>
      <c r="C481" t="inlineStr">
        <is>
          <t>Bajaj OSZ 46H</t>
        </is>
      </c>
      <c r="D481" t="inlineStr">
        <is>
          <t>OSZ46H</t>
        </is>
      </c>
      <c r="H481" t="n">
        <v>240000</v>
      </c>
      <c r="I481" t="n">
        <v>240000</v>
      </c>
      <c r="J481" t="inlineStr">
        <is>
          <t>efectivo</t>
        </is>
      </c>
    </row>
    <row r="482">
      <c r="A482" s="3" t="n">
        <v>46099</v>
      </c>
      <c r="B482" t="inlineStr">
        <is>
          <t>Osmed Brenda</t>
        </is>
      </c>
      <c r="C482" t="inlineStr">
        <is>
          <t>Bajaj OSZ 46H</t>
        </is>
      </c>
      <c r="D482" t="inlineStr">
        <is>
          <t>OSZ46H</t>
        </is>
      </c>
      <c r="H482" t="n">
        <v>240000</v>
      </c>
      <c r="I482" t="n">
        <v>240000</v>
      </c>
      <c r="J482" t="inlineStr">
        <is>
          <t>efectivo</t>
        </is>
      </c>
    </row>
    <row r="483">
      <c r="A483" s="3" t="n">
        <v>46106</v>
      </c>
      <c r="B483" t="inlineStr">
        <is>
          <t>Osmed Brenda</t>
        </is>
      </c>
      <c r="C483" t="inlineStr">
        <is>
          <t>Bajaj OSZ 46H</t>
        </is>
      </c>
      <c r="D483" t="inlineStr">
        <is>
          <t>OSZ46H</t>
        </is>
      </c>
      <c r="H483" t="n">
        <v>240000</v>
      </c>
      <c r="I483" t="n">
        <v>240000</v>
      </c>
      <c r="J483" t="inlineStr">
        <is>
          <t>efectivo</t>
        </is>
      </c>
    </row>
    <row r="484">
      <c r="A484" s="3" t="n">
        <v>46113</v>
      </c>
      <c r="B484" t="inlineStr">
        <is>
          <t>Osmed Brenda</t>
        </is>
      </c>
      <c r="C484" t="inlineStr">
        <is>
          <t>Bajaj OSZ 46H</t>
        </is>
      </c>
      <c r="D484" t="inlineStr">
        <is>
          <t>OSZ46H</t>
        </is>
      </c>
      <c r="H484" t="n">
        <v>240000</v>
      </c>
      <c r="I484" t="n">
        <v>240000</v>
      </c>
      <c r="J484" t="inlineStr">
        <is>
          <t>efectivo</t>
        </is>
      </c>
    </row>
    <row r="485">
      <c r="A485" s="3" t="n">
        <v>46123</v>
      </c>
      <c r="B485" t="inlineStr">
        <is>
          <t>Osmed Brenda</t>
        </is>
      </c>
      <c r="C485" t="inlineStr">
        <is>
          <t>Bajaj OSZ 46H</t>
        </is>
      </c>
      <c r="D485" t="inlineStr">
        <is>
          <t>OSZ46H</t>
        </is>
      </c>
      <c r="H485" t="n">
        <v>240000</v>
      </c>
      <c r="I485" t="n">
        <v>240000</v>
      </c>
      <c r="J485" t="inlineStr">
        <is>
          <t>efectivo</t>
        </is>
      </c>
    </row>
    <row r="486">
      <c r="A486" s="3" t="n">
        <v>46130</v>
      </c>
      <c r="B486" t="inlineStr">
        <is>
          <t>Osmed Brenda</t>
        </is>
      </c>
      <c r="C486" t="inlineStr">
        <is>
          <t>Bajaj OSZ 46H</t>
        </is>
      </c>
      <c r="D486" t="inlineStr">
        <is>
          <t>OSZ46H</t>
        </is>
      </c>
      <c r="H486" t="n">
        <v>240000</v>
      </c>
      <c r="I486" t="n">
        <v>240000</v>
      </c>
      <c r="J486" t="inlineStr">
        <is>
          <t>efectivo</t>
        </is>
      </c>
    </row>
    <row r="487">
      <c r="A487" s="3" t="n">
        <v>46138</v>
      </c>
      <c r="B487" t="inlineStr">
        <is>
          <t>Osmed Brenda</t>
        </is>
      </c>
      <c r="C487" t="inlineStr">
        <is>
          <t>Bajaj OSZ 46H</t>
        </is>
      </c>
      <c r="D487" t="inlineStr">
        <is>
          <t>OSZ46H</t>
        </is>
      </c>
      <c r="H487" t="n">
        <v>240000</v>
      </c>
      <c r="I487" t="n">
        <v>240000</v>
      </c>
      <c r="J487" t="inlineStr">
        <is>
          <t>efectivo</t>
        </is>
      </c>
    </row>
    <row r="488">
      <c r="A488" s="3" t="n">
        <v>46145</v>
      </c>
      <c r="B488" t="inlineStr">
        <is>
          <t>Osmed Brenda</t>
        </is>
      </c>
      <c r="C488" t="inlineStr">
        <is>
          <t>Bajaj OSZ 46H</t>
        </is>
      </c>
      <c r="D488" t="inlineStr">
        <is>
          <t>OSZ46H</t>
        </is>
      </c>
      <c r="H488" t="n">
        <v>240000</v>
      </c>
      <c r="I488" t="n">
        <v>240000</v>
      </c>
      <c r="J488" t="inlineStr">
        <is>
          <t>efectivo</t>
        </is>
      </c>
    </row>
    <row r="489">
      <c r="A489" s="3" t="n">
        <v>46152</v>
      </c>
      <c r="B489" t="inlineStr">
        <is>
          <t>Osmed Brenda</t>
        </is>
      </c>
      <c r="C489" t="inlineStr">
        <is>
          <t>Bajaj OSZ 46H</t>
        </is>
      </c>
      <c r="D489" t="inlineStr">
        <is>
          <t>OSZ46H</t>
        </is>
      </c>
      <c r="H489" t="n">
        <v>240000</v>
      </c>
      <c r="I489" t="n">
        <v>240000</v>
      </c>
      <c r="J489" t="inlineStr">
        <is>
          <t>efectivo</t>
        </is>
      </c>
    </row>
    <row r="490">
      <c r="A490" s="3" t="n">
        <v>46163</v>
      </c>
      <c r="B490" t="inlineStr">
        <is>
          <t>Osmed Brenda</t>
        </is>
      </c>
      <c r="C490" t="inlineStr">
        <is>
          <t>Bajaj OSZ 46H</t>
        </is>
      </c>
      <c r="D490" t="inlineStr">
        <is>
          <t>OSZ46H</t>
        </is>
      </c>
      <c r="H490" t="n">
        <v>240000</v>
      </c>
      <c r="I490" t="n">
        <v>240000</v>
      </c>
      <c r="J490" t="inlineStr">
        <is>
          <t>efectivo</t>
        </is>
      </c>
    </row>
    <row r="491">
      <c r="A491" s="3" t="n">
        <v>46171</v>
      </c>
      <c r="B491" t="inlineStr">
        <is>
          <t>Osmed Brenda</t>
        </is>
      </c>
      <c r="C491" t="inlineStr">
        <is>
          <t>Bajaj OSZ 46H</t>
        </is>
      </c>
      <c r="D491" t="inlineStr">
        <is>
          <t>OSZ46H</t>
        </is>
      </c>
      <c r="H491" t="n">
        <v>240000</v>
      </c>
      <c r="I491" t="n">
        <v>240000</v>
      </c>
      <c r="J491" t="inlineStr">
        <is>
          <t>efectivo</t>
        </is>
      </c>
    </row>
    <row r="492">
      <c r="A492" s="3" t="n">
        <v>46178</v>
      </c>
      <c r="B492" t="inlineStr">
        <is>
          <t>Osmed Brenda</t>
        </is>
      </c>
      <c r="C492" t="inlineStr">
        <is>
          <t>Bajaj OSZ 46H</t>
        </is>
      </c>
      <c r="D492" t="inlineStr">
        <is>
          <t>OSZ46H</t>
        </is>
      </c>
      <c r="H492" t="n">
        <v>240000</v>
      </c>
      <c r="I492" t="n">
        <v>240000</v>
      </c>
      <c r="J492" t="inlineStr">
        <is>
          <t>efectivo</t>
        </is>
      </c>
    </row>
    <row r="493">
      <c r="A493" s="3" t="n">
        <v>46186</v>
      </c>
      <c r="B493" t="inlineStr">
        <is>
          <t>Osmed Brenda</t>
        </is>
      </c>
      <c r="C493" t="inlineStr">
        <is>
          <t>Bajaj OSZ 46H</t>
        </is>
      </c>
      <c r="D493" t="inlineStr">
        <is>
          <t>OSZ46H</t>
        </is>
      </c>
      <c r="H493" t="n">
        <v>240000</v>
      </c>
      <c r="I493" t="n">
        <v>240000</v>
      </c>
      <c r="J493" t="inlineStr">
        <is>
          <t>efectivo</t>
        </is>
      </c>
    </row>
    <row r="494">
      <c r="A494" s="3" t="n">
        <v>46195</v>
      </c>
      <c r="B494" t="inlineStr">
        <is>
          <t>Osmed Brenda</t>
        </is>
      </c>
      <c r="C494" t="inlineStr">
        <is>
          <t>Bajaj OSZ 46H</t>
        </is>
      </c>
      <c r="D494" t="inlineStr">
        <is>
          <t>OSZ46H</t>
        </is>
      </c>
      <c r="H494" t="n">
        <v>240000</v>
      </c>
      <c r="I494" t="n">
        <v>240000</v>
      </c>
      <c r="J494" t="inlineStr">
        <is>
          <t>efectivo</t>
        </is>
      </c>
    </row>
    <row r="495">
      <c r="A495" s="3" t="n">
        <v>46203</v>
      </c>
      <c r="B495" t="inlineStr">
        <is>
          <t>Osmed Brenda</t>
        </is>
      </c>
      <c r="C495" t="inlineStr">
        <is>
          <t>Bajaj OSZ 46H</t>
        </is>
      </c>
      <c r="D495" t="inlineStr">
        <is>
          <t>OSZ46H</t>
        </is>
      </c>
      <c r="H495" t="n">
        <v>240000</v>
      </c>
      <c r="I495" t="n">
        <v>240000</v>
      </c>
      <c r="J495" t="inlineStr">
        <is>
          <t>efectivo</t>
        </is>
      </c>
    </row>
    <row r="496">
      <c r="A496" s="3" t="n">
        <v>45790</v>
      </c>
      <c r="B496" t="inlineStr">
        <is>
          <t>Chacal Caterine</t>
        </is>
      </c>
      <c r="C496" t="inlineStr">
        <is>
          <t>Bajaj OSZ 43H</t>
        </is>
      </c>
      <c r="D496" t="inlineStr">
        <is>
          <t>OSZ43H</t>
        </is>
      </c>
      <c r="H496" t="n">
        <v>240000</v>
      </c>
      <c r="I496" t="n">
        <v>240000</v>
      </c>
      <c r="J496" t="inlineStr">
        <is>
          <t>efectivo</t>
        </is>
      </c>
    </row>
    <row r="497">
      <c r="A497" s="3" t="n">
        <v>45802</v>
      </c>
      <c r="B497" t="inlineStr">
        <is>
          <t>Chacal Caterine</t>
        </is>
      </c>
      <c r="C497" t="inlineStr">
        <is>
          <t>Bajaj OSZ 43H</t>
        </is>
      </c>
      <c r="D497" t="inlineStr">
        <is>
          <t>OSZ43H</t>
        </is>
      </c>
      <c r="H497" t="n">
        <v>240000</v>
      </c>
      <c r="I497" t="n">
        <v>240000</v>
      </c>
      <c r="J497" t="inlineStr">
        <is>
          <t>efectivo</t>
        </is>
      </c>
    </row>
    <row r="498">
      <c r="A498" s="3" t="n">
        <v>45810</v>
      </c>
      <c r="B498" t="inlineStr">
        <is>
          <t>Chacal Caterine</t>
        </is>
      </c>
      <c r="C498" t="inlineStr">
        <is>
          <t>Bajaj OSZ 43H</t>
        </is>
      </c>
      <c r="D498" t="inlineStr">
        <is>
          <t>OSZ43H</t>
        </is>
      </c>
      <c r="H498" t="n">
        <v>240000</v>
      </c>
      <c r="I498" t="n">
        <v>240000</v>
      </c>
      <c r="J498" t="inlineStr">
        <is>
          <t>efectivo</t>
        </is>
      </c>
    </row>
    <row r="499">
      <c r="A499" s="3" t="n">
        <v>45818</v>
      </c>
      <c r="B499" t="inlineStr">
        <is>
          <t>Chacal Caterine</t>
        </is>
      </c>
      <c r="C499" t="inlineStr">
        <is>
          <t>Bajaj OSZ 43H</t>
        </is>
      </c>
      <c r="D499" t="inlineStr">
        <is>
          <t>OSZ43H</t>
        </is>
      </c>
      <c r="H499" t="n">
        <v>240000</v>
      </c>
      <c r="I499" t="n">
        <v>240000</v>
      </c>
      <c r="J499" t="inlineStr">
        <is>
          <t>efectivo</t>
        </is>
      </c>
    </row>
    <row r="500">
      <c r="A500" s="3" t="n">
        <v>45827</v>
      </c>
      <c r="B500" t="inlineStr">
        <is>
          <t>Chacal Caterine</t>
        </is>
      </c>
      <c r="C500" t="inlineStr">
        <is>
          <t>Bajaj OSZ 43H</t>
        </is>
      </c>
      <c r="D500" t="inlineStr">
        <is>
          <t>OSZ43H</t>
        </is>
      </c>
      <c r="H500" t="n">
        <v>240000</v>
      </c>
      <c r="I500" t="n">
        <v>240000</v>
      </c>
      <c r="J500" t="inlineStr">
        <is>
          <t>efectivo</t>
        </is>
      </c>
    </row>
    <row r="501">
      <c r="A501" s="3" t="n">
        <v>45836</v>
      </c>
      <c r="B501" t="inlineStr">
        <is>
          <t>Chacal Caterine</t>
        </is>
      </c>
      <c r="C501" t="inlineStr">
        <is>
          <t>Bajaj OSZ 43H</t>
        </is>
      </c>
      <c r="D501" t="inlineStr">
        <is>
          <t>OSZ43H</t>
        </is>
      </c>
      <c r="H501" t="n">
        <v>240000</v>
      </c>
      <c r="I501" t="n">
        <v>240000</v>
      </c>
      <c r="J501" t="inlineStr">
        <is>
          <t>efectivo</t>
        </is>
      </c>
    </row>
    <row r="502">
      <c r="A502" s="3" t="n">
        <v>45844</v>
      </c>
      <c r="B502" t="inlineStr">
        <is>
          <t>Chacal Caterine</t>
        </is>
      </c>
      <c r="C502" t="inlineStr">
        <is>
          <t>Bajaj OSZ 43H</t>
        </is>
      </c>
      <c r="D502" t="inlineStr">
        <is>
          <t>OSZ43H</t>
        </is>
      </c>
      <c r="H502" t="n">
        <v>240000</v>
      </c>
      <c r="I502" t="n">
        <v>240000</v>
      </c>
      <c r="J502" t="inlineStr">
        <is>
          <t>efectivo</t>
        </is>
      </c>
    </row>
    <row r="503">
      <c r="A503" s="3" t="n">
        <v>45853</v>
      </c>
      <c r="B503" t="inlineStr">
        <is>
          <t>Chacal Caterine</t>
        </is>
      </c>
      <c r="C503" t="inlineStr">
        <is>
          <t>Bajaj OSZ 43H</t>
        </is>
      </c>
      <c r="D503" t="inlineStr">
        <is>
          <t>OSZ43H</t>
        </is>
      </c>
      <c r="H503" t="n">
        <v>240000</v>
      </c>
      <c r="I503" t="n">
        <v>240000</v>
      </c>
      <c r="J503" t="inlineStr">
        <is>
          <t>efectivo</t>
        </is>
      </c>
    </row>
    <row r="504">
      <c r="A504" s="3" t="n">
        <v>45862</v>
      </c>
      <c r="B504" t="inlineStr">
        <is>
          <t>Chacal Caterine</t>
        </is>
      </c>
      <c r="C504" t="inlineStr">
        <is>
          <t>Bajaj OSZ 43H</t>
        </is>
      </c>
      <c r="D504" t="inlineStr">
        <is>
          <t>OSZ43H</t>
        </is>
      </c>
      <c r="H504" t="n">
        <v>240000</v>
      </c>
      <c r="I504" t="n">
        <v>240000</v>
      </c>
      <c r="J504" t="inlineStr">
        <is>
          <t>efectivo</t>
        </is>
      </c>
    </row>
    <row r="505">
      <c r="A505" s="3" t="n">
        <v>45874</v>
      </c>
      <c r="B505" t="inlineStr">
        <is>
          <t>Chacal Caterine</t>
        </is>
      </c>
      <c r="C505" t="inlineStr">
        <is>
          <t>Bajaj OSZ 43H</t>
        </is>
      </c>
      <c r="D505" t="inlineStr">
        <is>
          <t>OSZ43H</t>
        </is>
      </c>
      <c r="H505" t="n">
        <v>240000</v>
      </c>
      <c r="I505" t="n">
        <v>240000</v>
      </c>
      <c r="J505" t="inlineStr">
        <is>
          <t>efectivo</t>
        </is>
      </c>
    </row>
    <row r="506">
      <c r="A506" s="3" t="n">
        <v>45882</v>
      </c>
      <c r="B506" t="inlineStr">
        <is>
          <t>Chacal Caterine</t>
        </is>
      </c>
      <c r="C506" t="inlineStr">
        <is>
          <t>Bajaj OSZ 43H</t>
        </is>
      </c>
      <c r="D506" t="inlineStr">
        <is>
          <t>OSZ43H</t>
        </is>
      </c>
      <c r="H506" t="n">
        <v>240000</v>
      </c>
      <c r="I506" t="n">
        <v>240000</v>
      </c>
      <c r="J506" t="inlineStr">
        <is>
          <t>efectivo</t>
        </is>
      </c>
    </row>
    <row r="507">
      <c r="A507" s="3" t="n">
        <v>45890</v>
      </c>
      <c r="B507" t="inlineStr">
        <is>
          <t>Chacal Caterine</t>
        </is>
      </c>
      <c r="C507" t="inlineStr">
        <is>
          <t>Bajaj OSZ 43H</t>
        </is>
      </c>
      <c r="D507" t="inlineStr">
        <is>
          <t>OSZ43H</t>
        </is>
      </c>
      <c r="H507" t="n">
        <v>240000</v>
      </c>
      <c r="I507" t="n">
        <v>240000</v>
      </c>
      <c r="J507" t="inlineStr">
        <is>
          <t>efectivo</t>
        </is>
      </c>
    </row>
    <row r="508">
      <c r="A508" s="3" t="n">
        <v>45899</v>
      </c>
      <c r="B508" t="inlineStr">
        <is>
          <t>Chacal Caterine</t>
        </is>
      </c>
      <c r="C508" t="inlineStr">
        <is>
          <t>Bajaj OSZ 43H</t>
        </is>
      </c>
      <c r="D508" t="inlineStr">
        <is>
          <t>OSZ43H</t>
        </is>
      </c>
      <c r="H508" t="n">
        <v>240000</v>
      </c>
      <c r="I508" t="n">
        <v>240000</v>
      </c>
      <c r="J508" t="inlineStr">
        <is>
          <t>efectivo</t>
        </is>
      </c>
    </row>
    <row r="509">
      <c r="A509" s="3" t="n">
        <v>45907</v>
      </c>
      <c r="B509" t="inlineStr">
        <is>
          <t>Chacal Caterine</t>
        </is>
      </c>
      <c r="C509" t="inlineStr">
        <is>
          <t>Bajaj OSZ 43H</t>
        </is>
      </c>
      <c r="D509" t="inlineStr">
        <is>
          <t>OSZ43H</t>
        </is>
      </c>
      <c r="H509" t="n">
        <v>240000</v>
      </c>
      <c r="I509" t="n">
        <v>240000</v>
      </c>
      <c r="J509" t="inlineStr">
        <is>
          <t>efectivo</t>
        </is>
      </c>
    </row>
    <row r="510">
      <c r="A510" s="3" t="n">
        <v>45915</v>
      </c>
      <c r="B510" t="inlineStr">
        <is>
          <t>Chacal Caterine</t>
        </is>
      </c>
      <c r="C510" t="inlineStr">
        <is>
          <t>Bajaj OSZ 43H</t>
        </is>
      </c>
      <c r="D510" t="inlineStr">
        <is>
          <t>OSZ43H</t>
        </is>
      </c>
      <c r="H510" t="n">
        <v>240000</v>
      </c>
      <c r="I510" t="n">
        <v>240000</v>
      </c>
      <c r="J510" t="inlineStr">
        <is>
          <t>efectivo</t>
        </is>
      </c>
    </row>
    <row r="511">
      <c r="A511" s="3" t="n">
        <v>45922</v>
      </c>
      <c r="B511" t="inlineStr">
        <is>
          <t>Chacal Caterine</t>
        </is>
      </c>
      <c r="C511" t="inlineStr">
        <is>
          <t>Bajaj OSZ 43H</t>
        </is>
      </c>
      <c r="D511" t="inlineStr">
        <is>
          <t>OSZ43H</t>
        </is>
      </c>
      <c r="H511" t="n">
        <v>240000</v>
      </c>
      <c r="I511" t="n">
        <v>240000</v>
      </c>
      <c r="J511" t="inlineStr">
        <is>
          <t>efectivo</t>
        </is>
      </c>
    </row>
    <row r="512">
      <c r="A512" s="3" t="n">
        <v>45928</v>
      </c>
      <c r="B512" t="inlineStr">
        <is>
          <t>Chacal Caterine</t>
        </is>
      </c>
      <c r="C512" t="inlineStr">
        <is>
          <t>Bajaj OSZ 43H</t>
        </is>
      </c>
      <c r="D512" t="inlineStr">
        <is>
          <t>OSZ43H</t>
        </is>
      </c>
      <c r="H512" t="n">
        <v>240000</v>
      </c>
      <c r="I512" t="n">
        <v>240000</v>
      </c>
      <c r="J512" t="inlineStr">
        <is>
          <t>efectivo</t>
        </is>
      </c>
    </row>
    <row r="513">
      <c r="A513" s="3" t="n">
        <v>45936</v>
      </c>
      <c r="B513" t="inlineStr">
        <is>
          <t>Chacal Caterine</t>
        </is>
      </c>
      <c r="C513" t="inlineStr">
        <is>
          <t>Bajaj OSZ 43H</t>
        </is>
      </c>
      <c r="D513" t="inlineStr">
        <is>
          <t>OSZ43H</t>
        </is>
      </c>
      <c r="H513" t="n">
        <v>240000</v>
      </c>
      <c r="I513" t="n">
        <v>240000</v>
      </c>
      <c r="J513" t="inlineStr">
        <is>
          <t>efectivo</t>
        </is>
      </c>
    </row>
    <row r="514">
      <c r="A514" s="3" t="n">
        <v>45943</v>
      </c>
      <c r="B514" t="inlineStr">
        <is>
          <t>Chacal Caterine</t>
        </is>
      </c>
      <c r="C514" t="inlineStr">
        <is>
          <t>Bajaj OSZ 43H</t>
        </is>
      </c>
      <c r="D514" t="inlineStr">
        <is>
          <t>OSZ43H</t>
        </is>
      </c>
      <c r="H514" t="n">
        <v>240000</v>
      </c>
      <c r="I514" t="n">
        <v>240000</v>
      </c>
      <c r="J514" t="inlineStr">
        <is>
          <t>efectivo</t>
        </is>
      </c>
    </row>
    <row r="515">
      <c r="A515" s="3" t="n">
        <v>45951</v>
      </c>
      <c r="B515" t="inlineStr">
        <is>
          <t>Chacal Caterine</t>
        </is>
      </c>
      <c r="C515" t="inlineStr">
        <is>
          <t>Bajaj OSZ 43H</t>
        </is>
      </c>
      <c r="D515" t="inlineStr">
        <is>
          <t>OSZ43H</t>
        </is>
      </c>
      <c r="H515" t="n">
        <v>240000</v>
      </c>
      <c r="I515" t="n">
        <v>240000</v>
      </c>
      <c r="J515" t="inlineStr">
        <is>
          <t>efectivo</t>
        </is>
      </c>
    </row>
    <row r="516">
      <c r="A516" s="3" t="n">
        <v>45960</v>
      </c>
      <c r="B516" t="inlineStr">
        <is>
          <t>Chacal Caterine</t>
        </is>
      </c>
      <c r="C516" t="inlineStr">
        <is>
          <t>Bajaj OSZ 43H</t>
        </is>
      </c>
      <c r="D516" t="inlineStr">
        <is>
          <t>OSZ43H</t>
        </is>
      </c>
      <c r="H516" t="n">
        <v>240000</v>
      </c>
      <c r="I516" t="n">
        <v>240000</v>
      </c>
      <c r="J516" t="inlineStr">
        <is>
          <t>efectivo</t>
        </is>
      </c>
    </row>
    <row r="517">
      <c r="A517" s="3" t="n">
        <v>45967</v>
      </c>
      <c r="B517" t="inlineStr">
        <is>
          <t>Chacal Caterine</t>
        </is>
      </c>
      <c r="C517" t="inlineStr">
        <is>
          <t>Bajaj OSZ 43H</t>
        </is>
      </c>
      <c r="D517" t="inlineStr">
        <is>
          <t>OSZ43H</t>
        </is>
      </c>
      <c r="H517" t="n">
        <v>240000</v>
      </c>
      <c r="I517" t="n">
        <v>240000</v>
      </c>
      <c r="J517" t="inlineStr">
        <is>
          <t>efectivo</t>
        </is>
      </c>
    </row>
    <row r="518">
      <c r="A518" s="3" t="n">
        <v>45979</v>
      </c>
      <c r="B518" t="inlineStr">
        <is>
          <t>Chacal Caterine</t>
        </is>
      </c>
      <c r="C518" t="inlineStr">
        <is>
          <t>Bajaj OSZ 43H</t>
        </is>
      </c>
      <c r="D518" t="inlineStr">
        <is>
          <t>OSZ43H</t>
        </is>
      </c>
      <c r="H518" t="n">
        <v>240000</v>
      </c>
      <c r="I518" t="n">
        <v>240000</v>
      </c>
      <c r="J518" t="inlineStr">
        <is>
          <t>efectivo</t>
        </is>
      </c>
    </row>
    <row r="519">
      <c r="A519" s="3" t="n">
        <v>45985</v>
      </c>
      <c r="B519" t="inlineStr">
        <is>
          <t>Chacal Caterine</t>
        </is>
      </c>
      <c r="C519" t="inlineStr">
        <is>
          <t>Bajaj OSZ 43H</t>
        </is>
      </c>
      <c r="D519" t="inlineStr">
        <is>
          <t>OSZ43H</t>
        </is>
      </c>
      <c r="H519" t="n">
        <v>240000</v>
      </c>
      <c r="I519" t="n">
        <v>240000</v>
      </c>
      <c r="J519" t="inlineStr">
        <is>
          <t>efectivo</t>
        </is>
      </c>
    </row>
    <row r="520">
      <c r="A520" s="3" t="n">
        <v>45993</v>
      </c>
      <c r="B520" t="inlineStr">
        <is>
          <t>Chacal Caterine</t>
        </is>
      </c>
      <c r="C520" t="inlineStr">
        <is>
          <t>Bajaj OSZ 43H</t>
        </is>
      </c>
      <c r="D520" t="inlineStr">
        <is>
          <t>OSZ43H</t>
        </is>
      </c>
      <c r="H520" t="n">
        <v>240000</v>
      </c>
      <c r="I520" t="n">
        <v>240000</v>
      </c>
      <c r="J520" t="inlineStr">
        <is>
          <t>efectivo</t>
        </is>
      </c>
    </row>
    <row r="521">
      <c r="A521" s="3" t="n">
        <v>46005</v>
      </c>
      <c r="B521" t="inlineStr">
        <is>
          <t>Chacal Caterine</t>
        </is>
      </c>
      <c r="C521" t="inlineStr">
        <is>
          <t>Bajaj OSZ 43H</t>
        </is>
      </c>
      <c r="D521" t="inlineStr">
        <is>
          <t>OSZ43H</t>
        </is>
      </c>
      <c r="H521" t="n">
        <v>240000</v>
      </c>
      <c r="I521" t="n">
        <v>240000</v>
      </c>
      <c r="J521" t="inlineStr">
        <is>
          <t>efectivo</t>
        </is>
      </c>
    </row>
    <row r="522">
      <c r="A522" s="3" t="n">
        <v>46011</v>
      </c>
      <c r="B522" t="inlineStr">
        <is>
          <t>Chacal Caterine</t>
        </is>
      </c>
      <c r="C522" t="inlineStr">
        <is>
          <t>Bajaj OSZ 43H</t>
        </is>
      </c>
      <c r="D522" t="inlineStr">
        <is>
          <t>OSZ43H</t>
        </is>
      </c>
      <c r="H522" t="n">
        <v>240000</v>
      </c>
      <c r="I522" t="n">
        <v>240000</v>
      </c>
      <c r="J522" t="inlineStr">
        <is>
          <t>efectivo</t>
        </is>
      </c>
    </row>
    <row r="523">
      <c r="A523" s="3" t="n">
        <v>46028</v>
      </c>
      <c r="B523" t="inlineStr">
        <is>
          <t>Chacal Caterine</t>
        </is>
      </c>
      <c r="C523" t="inlineStr">
        <is>
          <t>Bajaj OSZ 43H</t>
        </is>
      </c>
      <c r="D523" t="inlineStr">
        <is>
          <t>OSZ43H</t>
        </is>
      </c>
      <c r="H523" t="n">
        <v>240000</v>
      </c>
      <c r="I523" t="n">
        <v>240000</v>
      </c>
      <c r="J523" t="inlineStr">
        <is>
          <t>efectivo</t>
        </is>
      </c>
    </row>
    <row r="524">
      <c r="A524" s="3" t="n">
        <v>46037</v>
      </c>
      <c r="B524" t="inlineStr">
        <is>
          <t>Chacal Caterine</t>
        </is>
      </c>
      <c r="C524" t="inlineStr">
        <is>
          <t>Bajaj OSZ 43H</t>
        </is>
      </c>
      <c r="D524" t="inlineStr">
        <is>
          <t>OSZ43H</t>
        </is>
      </c>
      <c r="H524" t="n">
        <v>240000</v>
      </c>
      <c r="I524" t="n">
        <v>240000</v>
      </c>
      <c r="J524" t="inlineStr">
        <is>
          <t>efectivo</t>
        </is>
      </c>
    </row>
    <row r="525">
      <c r="A525" s="3" t="n">
        <v>46046</v>
      </c>
      <c r="B525" t="inlineStr">
        <is>
          <t>Chacal Caterine</t>
        </is>
      </c>
      <c r="C525" t="inlineStr">
        <is>
          <t>Bajaj OSZ 43H</t>
        </is>
      </c>
      <c r="D525" t="inlineStr">
        <is>
          <t>OSZ43H</t>
        </is>
      </c>
      <c r="H525" t="n">
        <v>240000</v>
      </c>
      <c r="I525" t="n">
        <v>240000</v>
      </c>
      <c r="J525" t="inlineStr">
        <is>
          <t>efectivo</t>
        </is>
      </c>
    </row>
    <row r="526">
      <c r="A526" s="3" t="n">
        <v>46055</v>
      </c>
      <c r="B526" t="inlineStr">
        <is>
          <t>Chacal Caterine</t>
        </is>
      </c>
      <c r="C526" t="inlineStr">
        <is>
          <t>Bajaj OSZ 43H</t>
        </is>
      </c>
      <c r="D526" t="inlineStr">
        <is>
          <t>OSZ43H</t>
        </is>
      </c>
      <c r="H526" t="n">
        <v>240000</v>
      </c>
      <c r="I526" t="n">
        <v>240000</v>
      </c>
      <c r="J526" t="inlineStr">
        <is>
          <t>efectivo</t>
        </is>
      </c>
    </row>
    <row r="527">
      <c r="A527" s="3" t="n">
        <v>46063</v>
      </c>
      <c r="B527" t="inlineStr">
        <is>
          <t>Chacal Caterine</t>
        </is>
      </c>
      <c r="C527" t="inlineStr">
        <is>
          <t>Bajaj OSZ 43H</t>
        </is>
      </c>
      <c r="D527" t="inlineStr">
        <is>
          <t>OSZ43H</t>
        </is>
      </c>
      <c r="H527" t="n">
        <v>240000</v>
      </c>
      <c r="I527" t="n">
        <v>240000</v>
      </c>
      <c r="J527" t="inlineStr">
        <is>
          <t>efectivo</t>
        </is>
      </c>
    </row>
    <row r="528">
      <c r="A528" s="3" t="n">
        <v>46071</v>
      </c>
      <c r="B528" t="inlineStr">
        <is>
          <t>Chacal Caterine</t>
        </is>
      </c>
      <c r="C528" t="inlineStr">
        <is>
          <t>Bajaj OSZ 43H</t>
        </is>
      </c>
      <c r="D528" t="inlineStr">
        <is>
          <t>OSZ43H</t>
        </is>
      </c>
      <c r="H528" t="n">
        <v>240000</v>
      </c>
      <c r="I528" t="n">
        <v>240000</v>
      </c>
      <c r="J528" t="inlineStr">
        <is>
          <t>efectivo</t>
        </is>
      </c>
    </row>
    <row r="529">
      <c r="A529" s="3" t="n">
        <v>46079</v>
      </c>
      <c r="B529" t="inlineStr">
        <is>
          <t>Chacal Caterine</t>
        </is>
      </c>
      <c r="C529" t="inlineStr">
        <is>
          <t>Bajaj OSZ 43H</t>
        </is>
      </c>
      <c r="D529" t="inlineStr">
        <is>
          <t>OSZ43H</t>
        </is>
      </c>
      <c r="H529" t="n">
        <v>240000</v>
      </c>
      <c r="I529" t="n">
        <v>240000</v>
      </c>
      <c r="J529" t="inlineStr">
        <is>
          <t>efectivo</t>
        </is>
      </c>
    </row>
    <row r="530">
      <c r="A530" s="3" t="n">
        <v>46087</v>
      </c>
      <c r="B530" t="inlineStr">
        <is>
          <t>Chacal Caterine</t>
        </is>
      </c>
      <c r="C530" t="inlineStr">
        <is>
          <t>Bajaj OSZ 43H</t>
        </is>
      </c>
      <c r="D530" t="inlineStr">
        <is>
          <t>OSZ43H</t>
        </is>
      </c>
      <c r="H530" t="n">
        <v>240000</v>
      </c>
      <c r="I530" t="n">
        <v>240000</v>
      </c>
      <c r="J530" t="inlineStr">
        <is>
          <t>efectivo</t>
        </is>
      </c>
    </row>
    <row r="531">
      <c r="A531" s="3" t="n">
        <v>46095</v>
      </c>
      <c r="B531" t="inlineStr">
        <is>
          <t>Chacal Caterine</t>
        </is>
      </c>
      <c r="C531" t="inlineStr">
        <is>
          <t>Bajaj OSZ 43H</t>
        </is>
      </c>
      <c r="D531" t="inlineStr">
        <is>
          <t>OSZ43H</t>
        </is>
      </c>
      <c r="H531" t="n">
        <v>240000</v>
      </c>
      <c r="I531" t="n">
        <v>240000</v>
      </c>
      <c r="J531" t="inlineStr">
        <is>
          <t>efectivo</t>
        </is>
      </c>
    </row>
    <row r="532">
      <c r="A532" s="3" t="n">
        <v>46104</v>
      </c>
      <c r="B532" t="inlineStr">
        <is>
          <t>Chacal Caterine</t>
        </is>
      </c>
      <c r="C532" t="inlineStr">
        <is>
          <t>Bajaj OSZ 43H</t>
        </is>
      </c>
      <c r="D532" t="inlineStr">
        <is>
          <t>OSZ43H</t>
        </is>
      </c>
      <c r="H532" t="n">
        <v>240000</v>
      </c>
      <c r="I532" t="n">
        <v>240000</v>
      </c>
      <c r="J532" t="inlineStr">
        <is>
          <t>efectivo</t>
        </is>
      </c>
    </row>
    <row r="533">
      <c r="A533" s="3" t="n">
        <v>46113</v>
      </c>
      <c r="B533" t="inlineStr">
        <is>
          <t>Chacal Caterine</t>
        </is>
      </c>
      <c r="C533" t="inlineStr">
        <is>
          <t>Bajaj OSZ 43H</t>
        </is>
      </c>
      <c r="D533" t="inlineStr">
        <is>
          <t>OSZ43H</t>
        </is>
      </c>
      <c r="H533" t="n">
        <v>240000</v>
      </c>
      <c r="I533" t="n">
        <v>240000</v>
      </c>
      <c r="J533" t="inlineStr">
        <is>
          <t>efectivo</t>
        </is>
      </c>
    </row>
    <row r="534">
      <c r="A534" s="3" t="n">
        <v>46122</v>
      </c>
      <c r="B534" t="inlineStr">
        <is>
          <t>Chacal Caterine</t>
        </is>
      </c>
      <c r="C534" t="inlineStr">
        <is>
          <t>Bajaj OSZ 43H</t>
        </is>
      </c>
      <c r="D534" t="inlineStr">
        <is>
          <t>OSZ43H</t>
        </is>
      </c>
      <c r="H534" t="n">
        <v>240000</v>
      </c>
      <c r="I534" t="n">
        <v>240000</v>
      </c>
      <c r="J534" t="inlineStr">
        <is>
          <t>efectivo</t>
        </is>
      </c>
    </row>
    <row r="535">
      <c r="A535" s="3" t="n">
        <v>46131</v>
      </c>
      <c r="B535" t="inlineStr">
        <is>
          <t>Chacal Caterine</t>
        </is>
      </c>
      <c r="C535" t="inlineStr">
        <is>
          <t>Bajaj OSZ 43H</t>
        </is>
      </c>
      <c r="D535" t="inlineStr">
        <is>
          <t>OSZ43H</t>
        </is>
      </c>
      <c r="H535" t="n">
        <v>240000</v>
      </c>
      <c r="I535" t="n">
        <v>240000</v>
      </c>
      <c r="J535" t="inlineStr">
        <is>
          <t>efectivo</t>
        </is>
      </c>
    </row>
    <row r="536">
      <c r="A536" s="3" t="n">
        <v>46141</v>
      </c>
      <c r="B536" t="inlineStr">
        <is>
          <t>Chacal Caterine</t>
        </is>
      </c>
      <c r="C536" t="inlineStr">
        <is>
          <t>Bajaj OSZ 43H</t>
        </is>
      </c>
      <c r="D536" t="inlineStr">
        <is>
          <t>OSZ43H</t>
        </is>
      </c>
      <c r="H536" t="n">
        <v>240000</v>
      </c>
      <c r="I536" t="n">
        <v>240000</v>
      </c>
      <c r="J536" t="inlineStr">
        <is>
          <t>efectivo</t>
        </is>
      </c>
    </row>
    <row r="537">
      <c r="A537" s="3" t="n">
        <v>46149</v>
      </c>
      <c r="B537" t="inlineStr">
        <is>
          <t>Chacal Caterine</t>
        </is>
      </c>
      <c r="C537" t="inlineStr">
        <is>
          <t>Bajaj OSZ 43H</t>
        </is>
      </c>
      <c r="D537" t="inlineStr">
        <is>
          <t>OSZ43H</t>
        </is>
      </c>
      <c r="H537" t="n">
        <v>240000</v>
      </c>
      <c r="I537" t="n">
        <v>240000</v>
      </c>
      <c r="J537" t="inlineStr">
        <is>
          <t>efectivo</t>
        </is>
      </c>
    </row>
    <row r="538">
      <c r="A538" s="3" t="n">
        <v>46159</v>
      </c>
      <c r="B538" t="inlineStr">
        <is>
          <t>Chacal Caterine</t>
        </is>
      </c>
      <c r="C538" t="inlineStr">
        <is>
          <t>Bajaj OSZ 43H</t>
        </is>
      </c>
      <c r="D538" t="inlineStr">
        <is>
          <t>OSZ43H</t>
        </is>
      </c>
      <c r="H538" t="n">
        <v>240000</v>
      </c>
      <c r="I538" t="n">
        <v>240000</v>
      </c>
      <c r="J538" t="inlineStr">
        <is>
          <t>efectivo</t>
        </is>
      </c>
    </row>
    <row r="539">
      <c r="A539" s="3" t="n">
        <v>46167</v>
      </c>
      <c r="B539" t="inlineStr">
        <is>
          <t>Chacal Caterine</t>
        </is>
      </c>
      <c r="C539" t="inlineStr">
        <is>
          <t>Bajaj OSZ 43H</t>
        </is>
      </c>
      <c r="D539" t="inlineStr">
        <is>
          <t>OSZ43H</t>
        </is>
      </c>
      <c r="H539" t="n">
        <v>240000</v>
      </c>
      <c r="I539" t="n">
        <v>240000</v>
      </c>
      <c r="J539" t="inlineStr">
        <is>
          <t>efectivo</t>
        </is>
      </c>
    </row>
    <row r="540">
      <c r="A540" s="3" t="n">
        <v>46176</v>
      </c>
      <c r="B540" t="inlineStr">
        <is>
          <t>Chacal Caterine</t>
        </is>
      </c>
      <c r="C540" t="inlineStr">
        <is>
          <t>Bajaj OSZ 43H</t>
        </is>
      </c>
      <c r="D540" t="inlineStr">
        <is>
          <t>OSZ43H</t>
        </is>
      </c>
      <c r="H540" t="n">
        <v>240000</v>
      </c>
      <c r="I540" t="n">
        <v>240000</v>
      </c>
      <c r="J540" t="inlineStr">
        <is>
          <t>efectivo</t>
        </is>
      </c>
    </row>
    <row r="541">
      <c r="A541" s="3" t="n">
        <v>46185</v>
      </c>
      <c r="B541" t="inlineStr">
        <is>
          <t>Chacal Caterine</t>
        </is>
      </c>
      <c r="C541" t="inlineStr">
        <is>
          <t>Bajaj OSZ 43H</t>
        </is>
      </c>
      <c r="D541" t="inlineStr">
        <is>
          <t>OSZ43H</t>
        </is>
      </c>
      <c r="H541" t="n">
        <v>240000</v>
      </c>
      <c r="I541" t="n">
        <v>240000</v>
      </c>
      <c r="J541" t="inlineStr">
        <is>
          <t>efectivo</t>
        </is>
      </c>
    </row>
    <row r="542">
      <c r="A542" s="3" t="n">
        <v>46195</v>
      </c>
      <c r="B542" t="inlineStr">
        <is>
          <t>Chacal Caterine</t>
        </is>
      </c>
      <c r="C542" t="inlineStr">
        <is>
          <t>Bajaj OSZ 43H</t>
        </is>
      </c>
      <c r="D542" t="inlineStr">
        <is>
          <t>OSZ43H</t>
        </is>
      </c>
      <c r="H542" t="n">
        <v>240000</v>
      </c>
      <c r="I542" t="n">
        <v>240000</v>
      </c>
      <c r="J542" t="inlineStr">
        <is>
          <t>efectivo</t>
        </is>
      </c>
    </row>
    <row r="543">
      <c r="A543" s="3" t="n">
        <v>46203</v>
      </c>
      <c r="B543" t="inlineStr">
        <is>
          <t>Chacal Caterine</t>
        </is>
      </c>
      <c r="C543" t="inlineStr">
        <is>
          <t>Bajaj OSZ 43H</t>
        </is>
      </c>
      <c r="D543" t="inlineStr">
        <is>
          <t>OSZ43H</t>
        </is>
      </c>
      <c r="H543" t="n">
        <v>240000</v>
      </c>
      <c r="I543" t="n">
        <v>240000</v>
      </c>
      <c r="J543" t="inlineStr">
        <is>
          <t>efectivo</t>
        </is>
      </c>
    </row>
    <row r="544">
      <c r="A544" s="3" t="n">
        <v>46211</v>
      </c>
      <c r="B544" t="inlineStr">
        <is>
          <t>Chacal Caterine</t>
        </is>
      </c>
      <c r="C544" t="inlineStr">
        <is>
          <t>Bajaj OSZ 43H</t>
        </is>
      </c>
      <c r="D544" t="inlineStr">
        <is>
          <t>OSZ43H</t>
        </is>
      </c>
      <c r="H544" t="n">
        <v>240000</v>
      </c>
      <c r="I544" t="n">
        <v>240000</v>
      </c>
      <c r="J544" t="inlineStr">
        <is>
          <t>efectivo</t>
        </is>
      </c>
    </row>
    <row r="545">
      <c r="A545" s="3" t="n">
        <v>46220</v>
      </c>
      <c r="B545" t="inlineStr">
        <is>
          <t>Chacal Caterine</t>
        </is>
      </c>
      <c r="C545" t="inlineStr">
        <is>
          <t>Bajaj OSZ 43H</t>
        </is>
      </c>
      <c r="D545" t="inlineStr">
        <is>
          <t>OSZ43H</t>
        </is>
      </c>
      <c r="H545" t="n">
        <v>240000</v>
      </c>
      <c r="I545" t="n">
        <v>240000</v>
      </c>
      <c r="J545" t="inlineStr">
        <is>
          <t>efectivo</t>
        </is>
      </c>
    </row>
    <row r="546">
      <c r="A546" s="3" t="n">
        <v>45799</v>
      </c>
      <c r="B546" t="inlineStr">
        <is>
          <t>Wilian Junior Darlis Esther</t>
        </is>
      </c>
      <c r="C546" t="inlineStr">
        <is>
          <t>Bajaj OTE 02H</t>
        </is>
      </c>
      <c r="D546" t="inlineStr">
        <is>
          <t>OTE02H</t>
        </is>
      </c>
      <c r="H546" t="n">
        <v>240000</v>
      </c>
      <c r="I546" t="n">
        <v>240000</v>
      </c>
      <c r="J546" t="inlineStr">
        <is>
          <t>efectivo</t>
        </is>
      </c>
    </row>
    <row r="547">
      <c r="A547" s="3" t="n">
        <v>45808</v>
      </c>
      <c r="B547" t="inlineStr">
        <is>
          <t>Wilian Junior Darlis Esther</t>
        </is>
      </c>
      <c r="C547" t="inlineStr">
        <is>
          <t>Bajaj OTE 02H</t>
        </is>
      </c>
      <c r="D547" t="inlineStr">
        <is>
          <t>OTE02H</t>
        </is>
      </c>
      <c r="H547" t="n">
        <v>240000</v>
      </c>
      <c r="I547" t="n">
        <v>240000</v>
      </c>
      <c r="J547" t="inlineStr">
        <is>
          <t>efectivo</t>
        </is>
      </c>
    </row>
    <row r="548">
      <c r="A548" s="3" t="n">
        <v>45813</v>
      </c>
      <c r="B548" t="inlineStr">
        <is>
          <t>Wilian Junior Darlis Esther</t>
        </is>
      </c>
      <c r="C548" t="inlineStr">
        <is>
          <t>Bajaj OTE 02H</t>
        </is>
      </c>
      <c r="D548" t="inlineStr">
        <is>
          <t>OTE02H</t>
        </is>
      </c>
      <c r="H548" t="n">
        <v>240000</v>
      </c>
      <c r="I548" t="n">
        <v>240000</v>
      </c>
      <c r="J548" t="inlineStr">
        <is>
          <t>efectivo</t>
        </is>
      </c>
    </row>
    <row r="549">
      <c r="A549" s="3" t="n">
        <v>45821</v>
      </c>
      <c r="B549" t="inlineStr">
        <is>
          <t>Wilian Junior Darlis Esther</t>
        </is>
      </c>
      <c r="C549" t="inlineStr">
        <is>
          <t>Bajaj OTE 02H</t>
        </is>
      </c>
      <c r="D549" t="inlineStr">
        <is>
          <t>OTE02H</t>
        </is>
      </c>
      <c r="H549" t="n">
        <v>240000</v>
      </c>
      <c r="I549" t="n">
        <v>240000</v>
      </c>
      <c r="J549" t="inlineStr">
        <is>
          <t>efectivo</t>
        </is>
      </c>
    </row>
    <row r="550">
      <c r="A550" s="3" t="n">
        <v>45828</v>
      </c>
      <c r="B550" t="inlineStr">
        <is>
          <t>Wilian Junior Darlis Esther</t>
        </is>
      </c>
      <c r="C550" t="inlineStr">
        <is>
          <t>Bajaj OTE 02H</t>
        </is>
      </c>
      <c r="D550" t="inlineStr">
        <is>
          <t>OTE02H</t>
        </is>
      </c>
      <c r="H550" t="n">
        <v>240000</v>
      </c>
      <c r="I550" t="n">
        <v>240000</v>
      </c>
      <c r="J550" t="inlineStr">
        <is>
          <t>efectivo</t>
        </is>
      </c>
    </row>
    <row r="551">
      <c r="A551" s="3" t="n">
        <v>45835</v>
      </c>
      <c r="B551" t="inlineStr">
        <is>
          <t>Wilian Junior Darlis Esther</t>
        </is>
      </c>
      <c r="C551" t="inlineStr">
        <is>
          <t>Bajaj OTE 02H</t>
        </is>
      </c>
      <c r="D551" t="inlineStr">
        <is>
          <t>OTE02H</t>
        </is>
      </c>
      <c r="H551" t="n">
        <v>240000</v>
      </c>
      <c r="I551" t="n">
        <v>240000</v>
      </c>
      <c r="J551" t="inlineStr">
        <is>
          <t>efectivo</t>
        </is>
      </c>
    </row>
    <row r="552">
      <c r="A552" s="3" t="n">
        <v>45842</v>
      </c>
      <c r="B552" t="inlineStr">
        <is>
          <t>Wilian Junior Darlis Esther</t>
        </is>
      </c>
      <c r="C552" t="inlineStr">
        <is>
          <t>Bajaj OTE 02H</t>
        </is>
      </c>
      <c r="D552" t="inlineStr">
        <is>
          <t>OTE02H</t>
        </is>
      </c>
      <c r="H552" t="n">
        <v>240000</v>
      </c>
      <c r="I552" t="n">
        <v>240000</v>
      </c>
      <c r="J552" t="inlineStr">
        <is>
          <t>efectivo</t>
        </is>
      </c>
    </row>
    <row r="553">
      <c r="A553" s="3" t="n">
        <v>45868</v>
      </c>
      <c r="B553" t="inlineStr">
        <is>
          <t>Wilian Junior Darlis Esther</t>
        </is>
      </c>
      <c r="C553" t="inlineStr">
        <is>
          <t>Bajaj OTE 02H</t>
        </is>
      </c>
      <c r="D553" t="inlineStr">
        <is>
          <t>OTE02H</t>
        </is>
      </c>
      <c r="H553" t="n">
        <v>240000</v>
      </c>
      <c r="I553" t="n">
        <v>240000</v>
      </c>
      <c r="J553" t="inlineStr">
        <is>
          <t>efectivo</t>
        </is>
      </c>
    </row>
    <row r="554">
      <c r="A554" s="3" t="n">
        <v>45974</v>
      </c>
      <c r="B554" t="inlineStr">
        <is>
          <t>Wilian Junior Darlis Esther</t>
        </is>
      </c>
      <c r="C554" t="inlineStr">
        <is>
          <t>Bajaj OTE 02H</t>
        </is>
      </c>
      <c r="D554" t="inlineStr">
        <is>
          <t>OTE02H</t>
        </is>
      </c>
      <c r="H554" t="n">
        <v>240000</v>
      </c>
      <c r="I554" t="n">
        <v>240000</v>
      </c>
      <c r="J554" t="inlineStr">
        <is>
          <t>efectivo</t>
        </is>
      </c>
    </row>
    <row r="555">
      <c r="A555" s="3" t="n">
        <v>45983</v>
      </c>
      <c r="B555" t="inlineStr">
        <is>
          <t>Wilian Junior Darlis Esther</t>
        </is>
      </c>
      <c r="C555" t="inlineStr">
        <is>
          <t>Bajaj OTE 02H</t>
        </is>
      </c>
      <c r="D555" t="inlineStr">
        <is>
          <t>OTE02H</t>
        </is>
      </c>
      <c r="H555" t="n">
        <v>240000</v>
      </c>
      <c r="I555" t="n">
        <v>240000</v>
      </c>
      <c r="J555" t="inlineStr">
        <is>
          <t>efectivo</t>
        </is>
      </c>
    </row>
    <row r="556">
      <c r="A556" s="3" t="n">
        <v>45990</v>
      </c>
      <c r="B556" t="inlineStr">
        <is>
          <t>Wilian Junior Darlis Esther</t>
        </is>
      </c>
      <c r="C556" t="inlineStr">
        <is>
          <t>Bajaj OTE 02H</t>
        </is>
      </c>
      <c r="D556" t="inlineStr">
        <is>
          <t>OTE02H</t>
        </is>
      </c>
      <c r="H556" t="n">
        <v>240000</v>
      </c>
      <c r="I556" t="n">
        <v>240000</v>
      </c>
      <c r="J556" t="inlineStr">
        <is>
          <t>efectivo</t>
        </is>
      </c>
    </row>
    <row r="557">
      <c r="A557" s="3" t="n">
        <v>45998</v>
      </c>
      <c r="B557" t="inlineStr">
        <is>
          <t>Wilian Junior Darlis Esther</t>
        </is>
      </c>
      <c r="C557" t="inlineStr">
        <is>
          <t>Bajaj OTE 02H</t>
        </is>
      </c>
      <c r="D557" t="inlineStr">
        <is>
          <t>OTE02H</t>
        </is>
      </c>
      <c r="H557" t="n">
        <v>240000</v>
      </c>
      <c r="I557" t="n">
        <v>240000</v>
      </c>
      <c r="J557" t="inlineStr">
        <is>
          <t>efectivo</t>
        </is>
      </c>
    </row>
    <row r="558">
      <c r="A558" s="3" t="n">
        <v>46005</v>
      </c>
      <c r="B558" t="inlineStr">
        <is>
          <t>Wilian Junior Darlis Esther</t>
        </is>
      </c>
      <c r="C558" t="inlineStr">
        <is>
          <t>Bajaj OTE 02H</t>
        </is>
      </c>
      <c r="D558" t="inlineStr">
        <is>
          <t>OTE02H</t>
        </is>
      </c>
      <c r="H558" t="n">
        <v>240000</v>
      </c>
      <c r="I558" t="n">
        <v>240000</v>
      </c>
      <c r="J558" t="inlineStr">
        <is>
          <t>efectivo</t>
        </is>
      </c>
    </row>
    <row r="559">
      <c r="A559" s="3" t="n">
        <v>46014</v>
      </c>
      <c r="B559" t="inlineStr">
        <is>
          <t>Wilian Junior Darlis Esther</t>
        </is>
      </c>
      <c r="C559" t="inlineStr">
        <is>
          <t>Bajaj OTE 02H</t>
        </is>
      </c>
      <c r="D559" t="inlineStr">
        <is>
          <t>OTE02H</t>
        </is>
      </c>
      <c r="H559" t="n">
        <v>240000</v>
      </c>
      <c r="I559" t="n">
        <v>240000</v>
      </c>
      <c r="J559" t="inlineStr">
        <is>
          <t>efectivo</t>
        </is>
      </c>
    </row>
    <row r="560">
      <c r="A560" s="3" t="n">
        <v>46028</v>
      </c>
      <c r="B560" t="inlineStr">
        <is>
          <t>Wilian Junior Darlis Esther</t>
        </is>
      </c>
      <c r="C560" t="inlineStr">
        <is>
          <t>Bajaj OTE 02H</t>
        </is>
      </c>
      <c r="D560" t="inlineStr">
        <is>
          <t>OTE02H</t>
        </is>
      </c>
      <c r="H560" t="n">
        <v>240000</v>
      </c>
      <c r="I560" t="n">
        <v>240000</v>
      </c>
      <c r="J560" t="inlineStr">
        <is>
          <t>efectivo</t>
        </is>
      </c>
    </row>
    <row r="561">
      <c r="A561" s="3" t="n">
        <v>46035</v>
      </c>
      <c r="B561" t="inlineStr">
        <is>
          <t>Wilian Junior Darlis Esther</t>
        </is>
      </c>
      <c r="C561" t="inlineStr">
        <is>
          <t>Bajaj OTE 02H</t>
        </is>
      </c>
      <c r="D561" t="inlineStr">
        <is>
          <t>OTE02H</t>
        </is>
      </c>
      <c r="H561" t="n">
        <v>240000</v>
      </c>
      <c r="I561" t="n">
        <v>240000</v>
      </c>
      <c r="J561" t="inlineStr">
        <is>
          <t>efectivo</t>
        </is>
      </c>
    </row>
    <row r="562">
      <c r="A562" s="3" t="n">
        <v>46043</v>
      </c>
      <c r="B562" t="inlineStr">
        <is>
          <t>Wilian Junior Darlis Esther</t>
        </is>
      </c>
      <c r="C562" t="inlineStr">
        <is>
          <t>Bajaj OTE 02H</t>
        </is>
      </c>
      <c r="D562" t="inlineStr">
        <is>
          <t>OTE02H</t>
        </is>
      </c>
      <c r="H562" t="n">
        <v>240000</v>
      </c>
      <c r="I562" t="n">
        <v>240000</v>
      </c>
      <c r="J562" t="inlineStr">
        <is>
          <t>efectivo</t>
        </is>
      </c>
    </row>
    <row r="563">
      <c r="A563" s="3" t="n">
        <v>46054</v>
      </c>
      <c r="B563" t="inlineStr">
        <is>
          <t>Wilian Junior Darlis Esther</t>
        </is>
      </c>
      <c r="C563" t="inlineStr">
        <is>
          <t>Bajaj OTE 02H</t>
        </is>
      </c>
      <c r="D563" t="inlineStr">
        <is>
          <t>OTE02H</t>
        </is>
      </c>
      <c r="H563" t="n">
        <v>240000</v>
      </c>
      <c r="I563" t="n">
        <v>240000</v>
      </c>
      <c r="J563" t="inlineStr">
        <is>
          <t>efectivo</t>
        </is>
      </c>
    </row>
    <row r="564">
      <c r="A564" s="3" t="n">
        <v>46062</v>
      </c>
      <c r="B564" t="inlineStr">
        <is>
          <t>Wilian Junior Darlis Esther</t>
        </is>
      </c>
      <c r="C564" t="inlineStr">
        <is>
          <t>Bajaj OTE 02H</t>
        </is>
      </c>
      <c r="D564" t="inlineStr">
        <is>
          <t>OTE02H</t>
        </is>
      </c>
      <c r="H564" t="n">
        <v>240000</v>
      </c>
      <c r="I564" t="n">
        <v>240000</v>
      </c>
      <c r="J564" t="inlineStr">
        <is>
          <t>efectivo</t>
        </is>
      </c>
    </row>
    <row r="565">
      <c r="A565" s="3" t="n">
        <v>46071</v>
      </c>
      <c r="B565" t="inlineStr">
        <is>
          <t>Wilian Junior Darlis Esther</t>
        </is>
      </c>
      <c r="C565" t="inlineStr">
        <is>
          <t>Bajaj OTE 02H</t>
        </is>
      </c>
      <c r="D565" t="inlineStr">
        <is>
          <t>OTE02H</t>
        </is>
      </c>
      <c r="H565" t="n">
        <v>240000</v>
      </c>
      <c r="I565" t="n">
        <v>240000</v>
      </c>
      <c r="J565" t="inlineStr">
        <is>
          <t>efectivo</t>
        </is>
      </c>
    </row>
    <row r="566">
      <c r="A566" s="3" t="n">
        <v>46079</v>
      </c>
      <c r="B566" t="inlineStr">
        <is>
          <t>Wilian Junior Darlis Esther</t>
        </is>
      </c>
      <c r="C566" t="inlineStr">
        <is>
          <t>Bajaj OTE 02H</t>
        </is>
      </c>
      <c r="D566" t="inlineStr">
        <is>
          <t>OTE02H</t>
        </is>
      </c>
      <c r="H566" t="n">
        <v>240000</v>
      </c>
      <c r="I566" t="n">
        <v>240000</v>
      </c>
      <c r="J566" t="inlineStr">
        <is>
          <t>efectivo</t>
        </is>
      </c>
    </row>
    <row r="567">
      <c r="A567" s="3" t="n">
        <v>46087</v>
      </c>
      <c r="B567" t="inlineStr">
        <is>
          <t>Wilian Junior Darlis Esther</t>
        </is>
      </c>
      <c r="C567" t="inlineStr">
        <is>
          <t>Bajaj OTE 02H</t>
        </is>
      </c>
      <c r="D567" t="inlineStr">
        <is>
          <t>OTE02H</t>
        </is>
      </c>
      <c r="H567" t="n">
        <v>240000</v>
      </c>
      <c r="I567" t="n">
        <v>240000</v>
      </c>
      <c r="J567" t="inlineStr">
        <is>
          <t>efectivo</t>
        </is>
      </c>
    </row>
    <row r="568">
      <c r="A568" s="3" t="n">
        <v>46097</v>
      </c>
      <c r="B568" t="inlineStr">
        <is>
          <t>Wilian Junior Darlis Esther</t>
        </is>
      </c>
      <c r="C568" t="inlineStr">
        <is>
          <t>Bajaj OTE 02H</t>
        </is>
      </c>
      <c r="D568" t="inlineStr">
        <is>
          <t>OTE02H</t>
        </is>
      </c>
      <c r="H568" t="n">
        <v>240000</v>
      </c>
      <c r="I568" t="n">
        <v>240000</v>
      </c>
      <c r="J568" t="inlineStr">
        <is>
          <t>efectivo</t>
        </is>
      </c>
    </row>
    <row r="569">
      <c r="A569" s="3" t="n">
        <v>46107</v>
      </c>
      <c r="B569" t="inlineStr">
        <is>
          <t>Wilian Junior Darlis Esther</t>
        </is>
      </c>
      <c r="C569" t="inlineStr">
        <is>
          <t>Bajaj OTE 02H</t>
        </is>
      </c>
      <c r="D569" t="inlineStr">
        <is>
          <t>OTE02H</t>
        </is>
      </c>
      <c r="H569" t="n">
        <v>240000</v>
      </c>
      <c r="I569" t="n">
        <v>240000</v>
      </c>
      <c r="J569" t="inlineStr">
        <is>
          <t>efectivo</t>
        </is>
      </c>
    </row>
    <row r="570">
      <c r="A570" s="3" t="n">
        <v>46115</v>
      </c>
      <c r="B570" t="inlineStr">
        <is>
          <t>Wilian Junior Darlis Esther</t>
        </is>
      </c>
      <c r="C570" t="inlineStr">
        <is>
          <t>Bajaj OTE 02H</t>
        </is>
      </c>
      <c r="D570" t="inlineStr">
        <is>
          <t>OTE02H</t>
        </is>
      </c>
      <c r="H570" t="n">
        <v>240000</v>
      </c>
      <c r="I570" t="n">
        <v>240000</v>
      </c>
      <c r="J570" t="inlineStr">
        <is>
          <t>efectivo</t>
        </is>
      </c>
    </row>
    <row r="571">
      <c r="A571" s="3" t="n">
        <v>46121</v>
      </c>
      <c r="B571" t="inlineStr">
        <is>
          <t>Wilian Junior Darlis Esther</t>
        </is>
      </c>
      <c r="C571" t="inlineStr">
        <is>
          <t>Bajaj OTE 02H</t>
        </is>
      </c>
      <c r="D571" t="inlineStr">
        <is>
          <t>OTE02H</t>
        </is>
      </c>
      <c r="H571" t="n">
        <v>240000</v>
      </c>
      <c r="I571" t="n">
        <v>240000</v>
      </c>
      <c r="J571" t="inlineStr">
        <is>
          <t>efectivo</t>
        </is>
      </c>
    </row>
    <row r="572">
      <c r="A572" s="3" t="n">
        <v>46130</v>
      </c>
      <c r="B572" t="inlineStr">
        <is>
          <t>Wilian Junior Darlis Esther</t>
        </is>
      </c>
      <c r="C572" t="inlineStr">
        <is>
          <t>Bajaj OTE 02H</t>
        </is>
      </c>
      <c r="D572" t="inlineStr">
        <is>
          <t>OTE02H</t>
        </is>
      </c>
      <c r="H572" t="n">
        <v>240000</v>
      </c>
      <c r="I572" t="n">
        <v>240000</v>
      </c>
      <c r="J572" t="inlineStr">
        <is>
          <t>efectivo</t>
        </is>
      </c>
    </row>
    <row r="573">
      <c r="A573" s="3" t="n">
        <v>46139</v>
      </c>
      <c r="B573" t="inlineStr">
        <is>
          <t>Wilian Junior Darlis Esther</t>
        </is>
      </c>
      <c r="C573" t="inlineStr">
        <is>
          <t>Bajaj OTE 02H</t>
        </is>
      </c>
      <c r="D573" t="inlineStr">
        <is>
          <t>OTE02H</t>
        </is>
      </c>
      <c r="H573" t="n">
        <v>240000</v>
      </c>
      <c r="I573" t="n">
        <v>240000</v>
      </c>
      <c r="J573" t="inlineStr">
        <is>
          <t>efectivo</t>
        </is>
      </c>
    </row>
    <row r="574">
      <c r="A574" s="3" t="n">
        <v>46148</v>
      </c>
      <c r="B574" t="inlineStr">
        <is>
          <t>Wilian Junior Darlis Esther</t>
        </is>
      </c>
      <c r="C574" t="inlineStr">
        <is>
          <t>Bajaj OTE 02H</t>
        </is>
      </c>
      <c r="D574" t="inlineStr">
        <is>
          <t>OTE02H</t>
        </is>
      </c>
      <c r="H574" t="n">
        <v>240000</v>
      </c>
      <c r="I574" t="n">
        <v>240000</v>
      </c>
      <c r="J574" t="inlineStr">
        <is>
          <t>efectivo</t>
        </is>
      </c>
    </row>
    <row r="575">
      <c r="A575" s="3" t="n">
        <v>46158</v>
      </c>
      <c r="B575" t="inlineStr">
        <is>
          <t>Wilian Junior Darlis Esther</t>
        </is>
      </c>
      <c r="C575" t="inlineStr">
        <is>
          <t>Bajaj OTE 02H</t>
        </is>
      </c>
      <c r="D575" t="inlineStr">
        <is>
          <t>OTE02H</t>
        </is>
      </c>
      <c r="H575" t="n">
        <v>240000</v>
      </c>
      <c r="I575" t="n">
        <v>240000</v>
      </c>
      <c r="J575" t="inlineStr">
        <is>
          <t>efectivo</t>
        </is>
      </c>
    </row>
    <row r="576">
      <c r="A576" s="3" t="n">
        <v>46164</v>
      </c>
      <c r="B576" t="inlineStr">
        <is>
          <t>Wilian Junior Darlis Esther</t>
        </is>
      </c>
      <c r="C576" t="inlineStr">
        <is>
          <t>Bajaj OTE 02H</t>
        </is>
      </c>
      <c r="D576" t="inlineStr">
        <is>
          <t>OTE02H</t>
        </is>
      </c>
      <c r="H576" t="n">
        <v>240000</v>
      </c>
      <c r="I576" t="n">
        <v>240000</v>
      </c>
      <c r="J576" t="inlineStr">
        <is>
          <t>efectivo</t>
        </is>
      </c>
    </row>
    <row r="577">
      <c r="A577" s="3" t="n">
        <v>46171</v>
      </c>
      <c r="B577" t="inlineStr">
        <is>
          <t>Wilian Junior Darlis Esther</t>
        </is>
      </c>
      <c r="C577" t="inlineStr">
        <is>
          <t>Bajaj OTE 02H</t>
        </is>
      </c>
      <c r="D577" t="inlineStr">
        <is>
          <t>OTE02H</t>
        </is>
      </c>
      <c r="H577" t="n">
        <v>240000</v>
      </c>
      <c r="I577" t="n">
        <v>240000</v>
      </c>
      <c r="J577" t="inlineStr">
        <is>
          <t>efectivo</t>
        </is>
      </c>
    </row>
    <row r="578">
      <c r="A578" s="3" t="n">
        <v>46181</v>
      </c>
      <c r="B578" t="inlineStr">
        <is>
          <t>Wilian Junior Darlis Esther</t>
        </is>
      </c>
      <c r="C578" t="inlineStr">
        <is>
          <t>Bajaj OTE 02H</t>
        </is>
      </c>
      <c r="D578" t="inlineStr">
        <is>
          <t>OTE02H</t>
        </is>
      </c>
      <c r="H578" t="n">
        <v>240000</v>
      </c>
      <c r="I578" t="n">
        <v>240000</v>
      </c>
      <c r="J578" t="inlineStr">
        <is>
          <t>efectivo</t>
        </is>
      </c>
    </row>
    <row r="579">
      <c r="A579" s="3" t="n">
        <v>46189</v>
      </c>
      <c r="B579" t="inlineStr">
        <is>
          <t>Wilian Junior Darlis Esther</t>
        </is>
      </c>
      <c r="C579" t="inlineStr">
        <is>
          <t>Bajaj OTE 02H</t>
        </is>
      </c>
      <c r="D579" t="inlineStr">
        <is>
          <t>OTE02H</t>
        </is>
      </c>
      <c r="H579" t="n">
        <v>240000</v>
      </c>
      <c r="I579" t="n">
        <v>240000</v>
      </c>
      <c r="J579" t="inlineStr">
        <is>
          <t>efectivo</t>
        </is>
      </c>
    </row>
    <row r="580">
      <c r="A580" s="3" t="n">
        <v>45802</v>
      </c>
      <c r="B580" t="inlineStr">
        <is>
          <t>Darwin Yaimis Ysabel</t>
        </is>
      </c>
      <c r="C580" t="inlineStr">
        <is>
          <t>Bajaj OTE 80H</t>
        </is>
      </c>
      <c r="D580" t="inlineStr">
        <is>
          <t>OTE80H</t>
        </is>
      </c>
      <c r="H580" t="n">
        <v>240000</v>
      </c>
      <c r="I580" t="n">
        <v>240000</v>
      </c>
      <c r="J580" t="inlineStr">
        <is>
          <t>efectivo</t>
        </is>
      </c>
    </row>
    <row r="581">
      <c r="A581" s="3" t="n">
        <v>45811</v>
      </c>
      <c r="B581" t="inlineStr">
        <is>
          <t>Darwin Yaimis Ysabel</t>
        </is>
      </c>
      <c r="C581" t="inlineStr">
        <is>
          <t>Bajaj OTE 80H</t>
        </is>
      </c>
      <c r="D581" t="inlineStr">
        <is>
          <t>OTE80H</t>
        </is>
      </c>
      <c r="H581" t="n">
        <v>240000</v>
      </c>
      <c r="I581" t="n">
        <v>240000</v>
      </c>
      <c r="J581" t="inlineStr">
        <is>
          <t>efectivo</t>
        </is>
      </c>
    </row>
    <row r="582">
      <c r="A582" s="3" t="n">
        <v>45818</v>
      </c>
      <c r="B582" t="inlineStr">
        <is>
          <t>Darwin Yaimis Ysabel</t>
        </is>
      </c>
      <c r="C582" t="inlineStr">
        <is>
          <t>Bajaj OTE 80H</t>
        </is>
      </c>
      <c r="D582" t="inlineStr">
        <is>
          <t>OTE80H</t>
        </is>
      </c>
      <c r="H582" t="n">
        <v>240000</v>
      </c>
      <c r="I582" t="n">
        <v>240000</v>
      </c>
      <c r="J582" t="inlineStr">
        <is>
          <t>efectivo</t>
        </is>
      </c>
    </row>
    <row r="583">
      <c r="A583" s="3" t="n">
        <v>45824</v>
      </c>
      <c r="B583" t="inlineStr">
        <is>
          <t>Darwin Yaimis Ysabel</t>
        </is>
      </c>
      <c r="C583" t="inlineStr">
        <is>
          <t>Bajaj OTE 80H</t>
        </is>
      </c>
      <c r="D583" t="inlineStr">
        <is>
          <t>OTE80H</t>
        </is>
      </c>
      <c r="H583" t="n">
        <v>240000</v>
      </c>
      <c r="I583" t="n">
        <v>240000</v>
      </c>
      <c r="J583" t="inlineStr">
        <is>
          <t>efectivo</t>
        </is>
      </c>
    </row>
    <row r="584">
      <c r="A584" s="3" t="n">
        <v>45830</v>
      </c>
      <c r="B584" t="inlineStr">
        <is>
          <t>Darwin Yaimis Ysabel</t>
        </is>
      </c>
      <c r="C584" t="inlineStr">
        <is>
          <t>Bajaj OTE 80H</t>
        </is>
      </c>
      <c r="D584" t="inlineStr">
        <is>
          <t>OTE80H</t>
        </is>
      </c>
      <c r="H584" t="n">
        <v>240000</v>
      </c>
      <c r="I584" t="n">
        <v>240000</v>
      </c>
      <c r="J584" t="inlineStr">
        <is>
          <t>efectivo</t>
        </is>
      </c>
    </row>
    <row r="585">
      <c r="A585" s="3" t="n">
        <v>45836</v>
      </c>
      <c r="B585" t="inlineStr">
        <is>
          <t>Darwin Yaimis Ysabel</t>
        </is>
      </c>
      <c r="C585" t="inlineStr">
        <is>
          <t>Bajaj OTE 80H</t>
        </is>
      </c>
      <c r="D585" t="inlineStr">
        <is>
          <t>OTE80H</t>
        </is>
      </c>
      <c r="H585" t="n">
        <v>240000</v>
      </c>
      <c r="I585" t="n">
        <v>240000</v>
      </c>
      <c r="J585" t="inlineStr">
        <is>
          <t>efectivo</t>
        </is>
      </c>
    </row>
    <row r="586">
      <c r="A586" s="3" t="n">
        <v>45843</v>
      </c>
      <c r="B586" t="inlineStr">
        <is>
          <t>Darwin Yaimis Ysabel</t>
        </is>
      </c>
      <c r="C586" t="inlineStr">
        <is>
          <t>Bajaj OTE 80H</t>
        </is>
      </c>
      <c r="D586" t="inlineStr">
        <is>
          <t>OTE80H</t>
        </is>
      </c>
      <c r="H586" t="n">
        <v>240000</v>
      </c>
      <c r="I586" t="n">
        <v>240000</v>
      </c>
      <c r="J586" t="inlineStr">
        <is>
          <t>efectivo</t>
        </is>
      </c>
    </row>
    <row r="587">
      <c r="A587" s="3" t="n">
        <v>45851</v>
      </c>
      <c r="B587" t="inlineStr">
        <is>
          <t>Darwin Yaimis Ysabel</t>
        </is>
      </c>
      <c r="C587" t="inlineStr">
        <is>
          <t>Bajaj OTE 80H</t>
        </is>
      </c>
      <c r="D587" t="inlineStr">
        <is>
          <t>OTE80H</t>
        </is>
      </c>
      <c r="H587" t="n">
        <v>240000</v>
      </c>
      <c r="I587" t="n">
        <v>240000</v>
      </c>
      <c r="J587" t="inlineStr">
        <is>
          <t>efectivo</t>
        </is>
      </c>
    </row>
    <row r="588">
      <c r="A588" s="3" t="n">
        <v>45859</v>
      </c>
      <c r="B588" t="inlineStr">
        <is>
          <t>Darwin Yaimis Ysabel</t>
        </is>
      </c>
      <c r="C588" t="inlineStr">
        <is>
          <t>Bajaj OTE 80H</t>
        </is>
      </c>
      <c r="D588" t="inlineStr">
        <is>
          <t>OTE80H</t>
        </is>
      </c>
      <c r="H588" t="n">
        <v>240000</v>
      </c>
      <c r="I588" t="n">
        <v>240000</v>
      </c>
      <c r="J588" t="inlineStr">
        <is>
          <t>efectivo</t>
        </is>
      </c>
    </row>
    <row r="589">
      <c r="A589" s="3" t="n">
        <v>45866</v>
      </c>
      <c r="B589" t="inlineStr">
        <is>
          <t>Darwin Yaimis Ysabel</t>
        </is>
      </c>
      <c r="C589" t="inlineStr">
        <is>
          <t>Bajaj OTE 80H</t>
        </is>
      </c>
      <c r="D589" t="inlineStr">
        <is>
          <t>OTE80H</t>
        </is>
      </c>
      <c r="H589" t="n">
        <v>240000</v>
      </c>
      <c r="I589" t="n">
        <v>240000</v>
      </c>
      <c r="J589" t="inlineStr">
        <is>
          <t>efectivo</t>
        </is>
      </c>
    </row>
    <row r="590">
      <c r="A590" s="3" t="n">
        <v>45873</v>
      </c>
      <c r="B590" t="inlineStr">
        <is>
          <t>Darwin Yaimis Ysabel</t>
        </is>
      </c>
      <c r="C590" t="inlineStr">
        <is>
          <t>Bajaj OTE 80H</t>
        </is>
      </c>
      <c r="D590" t="inlineStr">
        <is>
          <t>OTE80H</t>
        </is>
      </c>
      <c r="H590" t="n">
        <v>240000</v>
      </c>
      <c r="I590" t="n">
        <v>240000</v>
      </c>
      <c r="J590" t="inlineStr">
        <is>
          <t>efectivo</t>
        </is>
      </c>
    </row>
    <row r="591">
      <c r="A591" s="3" t="n">
        <v>45887</v>
      </c>
      <c r="B591" t="inlineStr">
        <is>
          <t>Darwin Yaimis Ysabel</t>
        </is>
      </c>
      <c r="C591" t="inlineStr">
        <is>
          <t>Bajaj OTE 80H</t>
        </is>
      </c>
      <c r="D591" t="inlineStr">
        <is>
          <t>OTE80H</t>
        </is>
      </c>
      <c r="H591" t="n">
        <v>240000</v>
      </c>
      <c r="I591" t="n">
        <v>240000</v>
      </c>
      <c r="J591" t="inlineStr">
        <is>
          <t>efectivo</t>
        </is>
      </c>
    </row>
    <row r="592">
      <c r="A592" s="3" t="n">
        <v>45894</v>
      </c>
      <c r="B592" t="inlineStr">
        <is>
          <t>Darwin Yaimis Ysabel</t>
        </is>
      </c>
      <c r="C592" t="inlineStr">
        <is>
          <t>Bajaj OTE 80H</t>
        </is>
      </c>
      <c r="D592" t="inlineStr">
        <is>
          <t>OTE80H</t>
        </is>
      </c>
      <c r="H592" t="n">
        <v>240000</v>
      </c>
      <c r="I592" t="n">
        <v>240000</v>
      </c>
      <c r="J592" t="inlineStr">
        <is>
          <t>efectivo</t>
        </is>
      </c>
    </row>
    <row r="593">
      <c r="A593" s="3" t="n">
        <v>45904</v>
      </c>
      <c r="B593" t="inlineStr">
        <is>
          <t>Darwin Yaimis Ysabel</t>
        </is>
      </c>
      <c r="C593" t="inlineStr">
        <is>
          <t>Bajaj OTE 80H</t>
        </is>
      </c>
      <c r="D593" t="inlineStr">
        <is>
          <t>OTE80H</t>
        </is>
      </c>
      <c r="H593" t="n">
        <v>240000</v>
      </c>
      <c r="I593" t="n">
        <v>240000</v>
      </c>
      <c r="J593" t="inlineStr">
        <is>
          <t>efectivo</t>
        </is>
      </c>
    </row>
    <row r="594">
      <c r="A594" s="3" t="n">
        <v>45911</v>
      </c>
      <c r="B594" t="inlineStr">
        <is>
          <t>Darwin Yaimis Ysabel</t>
        </is>
      </c>
      <c r="C594" t="inlineStr">
        <is>
          <t>Bajaj OTE 80H</t>
        </is>
      </c>
      <c r="D594" t="inlineStr">
        <is>
          <t>OTE80H</t>
        </is>
      </c>
      <c r="H594" t="n">
        <v>240000</v>
      </c>
      <c r="I594" t="n">
        <v>240000</v>
      </c>
      <c r="J594" t="inlineStr">
        <is>
          <t>efectivo</t>
        </is>
      </c>
    </row>
    <row r="595">
      <c r="A595" s="3" t="n">
        <v>45918</v>
      </c>
      <c r="B595" t="inlineStr">
        <is>
          <t>Darwin Yaimis Ysabel</t>
        </is>
      </c>
      <c r="C595" t="inlineStr">
        <is>
          <t>Bajaj OTE 80H</t>
        </is>
      </c>
      <c r="D595" t="inlineStr">
        <is>
          <t>OTE80H</t>
        </is>
      </c>
      <c r="H595" t="n">
        <v>240000</v>
      </c>
      <c r="I595" t="n">
        <v>240000</v>
      </c>
      <c r="J595" t="inlineStr">
        <is>
          <t>efectivo</t>
        </is>
      </c>
    </row>
    <row r="596">
      <c r="A596" s="3" t="n">
        <v>45925</v>
      </c>
      <c r="B596" t="inlineStr">
        <is>
          <t>Darwin Yaimis Ysabel</t>
        </is>
      </c>
      <c r="C596" t="inlineStr">
        <is>
          <t>Bajaj OTE 80H</t>
        </is>
      </c>
      <c r="D596" t="inlineStr">
        <is>
          <t>OTE80H</t>
        </is>
      </c>
      <c r="H596" t="n">
        <v>240000</v>
      </c>
      <c r="I596" t="n">
        <v>240000</v>
      </c>
      <c r="J596" t="inlineStr">
        <is>
          <t>efectivo</t>
        </is>
      </c>
    </row>
    <row r="597">
      <c r="A597" s="3" t="n">
        <v>45933</v>
      </c>
      <c r="B597" t="inlineStr">
        <is>
          <t>Darwin Yaimis Ysabel</t>
        </is>
      </c>
      <c r="C597" t="inlineStr">
        <is>
          <t>Bajaj OTE 80H</t>
        </is>
      </c>
      <c r="D597" t="inlineStr">
        <is>
          <t>OTE80H</t>
        </is>
      </c>
      <c r="H597" t="n">
        <v>240000</v>
      </c>
      <c r="I597" t="n">
        <v>240000</v>
      </c>
      <c r="J597" t="inlineStr">
        <is>
          <t>efectivo</t>
        </is>
      </c>
    </row>
    <row r="598">
      <c r="A598" s="3" t="n">
        <v>45941</v>
      </c>
      <c r="B598" t="inlineStr">
        <is>
          <t>Darwin Yaimis Ysabel</t>
        </is>
      </c>
      <c r="C598" t="inlineStr">
        <is>
          <t>Bajaj OTE 80H</t>
        </is>
      </c>
      <c r="D598" t="inlineStr">
        <is>
          <t>OTE80H</t>
        </is>
      </c>
      <c r="H598" t="n">
        <v>240000</v>
      </c>
      <c r="I598" t="n">
        <v>240000</v>
      </c>
      <c r="J598" t="inlineStr">
        <is>
          <t>efectivo</t>
        </is>
      </c>
    </row>
    <row r="599">
      <c r="A599" s="3" t="n">
        <v>45946</v>
      </c>
      <c r="B599" t="inlineStr">
        <is>
          <t>Darwin Yaimis Ysabel</t>
        </is>
      </c>
      <c r="C599" t="inlineStr">
        <is>
          <t>Bajaj OTE 80H</t>
        </is>
      </c>
      <c r="D599" t="inlineStr">
        <is>
          <t>OTE80H</t>
        </is>
      </c>
      <c r="H599" t="n">
        <v>240000</v>
      </c>
      <c r="I599" t="n">
        <v>240000</v>
      </c>
      <c r="J599" t="inlineStr">
        <is>
          <t>efectivo</t>
        </is>
      </c>
    </row>
    <row r="600">
      <c r="A600" s="3" t="n">
        <v>45953</v>
      </c>
      <c r="B600" t="inlineStr">
        <is>
          <t>Darwin Yaimis Ysabel</t>
        </is>
      </c>
      <c r="C600" t="inlineStr">
        <is>
          <t>Bajaj OTE 80H</t>
        </is>
      </c>
      <c r="D600" t="inlineStr">
        <is>
          <t>OTE80H</t>
        </is>
      </c>
      <c r="H600" t="n">
        <v>240000</v>
      </c>
      <c r="I600" t="n">
        <v>240000</v>
      </c>
      <c r="J600" t="inlineStr">
        <is>
          <t>efectivo</t>
        </is>
      </c>
    </row>
    <row r="601">
      <c r="A601" s="3" t="n">
        <v>45960</v>
      </c>
      <c r="B601" t="inlineStr">
        <is>
          <t>Darwin Yaimis Ysabel</t>
        </is>
      </c>
      <c r="C601" t="inlineStr">
        <is>
          <t>Bajaj OTE 80H</t>
        </is>
      </c>
      <c r="D601" t="inlineStr">
        <is>
          <t>OTE80H</t>
        </is>
      </c>
      <c r="H601" t="n">
        <v>240000</v>
      </c>
      <c r="I601" t="n">
        <v>240000</v>
      </c>
      <c r="J601" t="inlineStr">
        <is>
          <t>efectivo</t>
        </is>
      </c>
    </row>
    <row r="602">
      <c r="A602" s="3" t="n">
        <v>45965</v>
      </c>
      <c r="B602" t="inlineStr">
        <is>
          <t>Darwin Yaimis Ysabel</t>
        </is>
      </c>
      <c r="C602" t="inlineStr">
        <is>
          <t>Bajaj OTE 80H</t>
        </is>
      </c>
      <c r="D602" t="inlineStr">
        <is>
          <t>OTE80H</t>
        </is>
      </c>
      <c r="H602" t="n">
        <v>240000</v>
      </c>
      <c r="I602" t="n">
        <v>240000</v>
      </c>
      <c r="J602" t="inlineStr">
        <is>
          <t>efectivo</t>
        </is>
      </c>
    </row>
    <row r="603">
      <c r="A603" s="3" t="n">
        <v>45972</v>
      </c>
      <c r="B603" t="inlineStr">
        <is>
          <t>Darwin Yaimis Ysabel</t>
        </is>
      </c>
      <c r="C603" t="inlineStr">
        <is>
          <t>Bajaj OTE 80H</t>
        </is>
      </c>
      <c r="D603" t="inlineStr">
        <is>
          <t>OTE80H</t>
        </is>
      </c>
      <c r="H603" t="n">
        <v>240000</v>
      </c>
      <c r="I603" t="n">
        <v>240000</v>
      </c>
      <c r="J603" t="inlineStr">
        <is>
          <t>efectivo</t>
        </is>
      </c>
    </row>
    <row r="604">
      <c r="A604" s="3" t="n">
        <v>45976</v>
      </c>
      <c r="B604" t="inlineStr">
        <is>
          <t>Darwin Yaimis Ysabel</t>
        </is>
      </c>
      <c r="C604" t="inlineStr">
        <is>
          <t>Bajaj OTE 80H</t>
        </is>
      </c>
      <c r="D604" t="inlineStr">
        <is>
          <t>OTE80H</t>
        </is>
      </c>
      <c r="H604" t="n">
        <v>240000</v>
      </c>
      <c r="I604" t="n">
        <v>240000</v>
      </c>
      <c r="J604" t="inlineStr">
        <is>
          <t>efectivo</t>
        </is>
      </c>
    </row>
    <row r="605">
      <c r="A605" s="3" t="n">
        <v>45986</v>
      </c>
      <c r="B605" t="inlineStr">
        <is>
          <t>Darwin Yaimis Ysabel</t>
        </is>
      </c>
      <c r="C605" t="inlineStr">
        <is>
          <t>Bajaj OTE 80H</t>
        </is>
      </c>
      <c r="D605" t="inlineStr">
        <is>
          <t>OTE80H</t>
        </is>
      </c>
      <c r="H605" t="n">
        <v>240000</v>
      </c>
      <c r="I605" t="n">
        <v>240000</v>
      </c>
      <c r="J605" t="inlineStr">
        <is>
          <t>efectivo</t>
        </is>
      </c>
    </row>
    <row r="606">
      <c r="A606" s="3" t="n">
        <v>45992</v>
      </c>
      <c r="B606" t="inlineStr">
        <is>
          <t>Darwin Yaimis Ysabel</t>
        </is>
      </c>
      <c r="C606" t="inlineStr">
        <is>
          <t>Bajaj OTE 80H</t>
        </is>
      </c>
      <c r="D606" t="inlineStr">
        <is>
          <t>OTE80H</t>
        </is>
      </c>
      <c r="H606" t="n">
        <v>240000</v>
      </c>
      <c r="I606" t="n">
        <v>240000</v>
      </c>
      <c r="J606" t="inlineStr">
        <is>
          <t>efectivo</t>
        </is>
      </c>
    </row>
    <row r="607">
      <c r="A607" s="3" t="n">
        <v>45999</v>
      </c>
      <c r="B607" t="inlineStr">
        <is>
          <t>Darwin Yaimis Ysabel</t>
        </is>
      </c>
      <c r="C607" t="inlineStr">
        <is>
          <t>Bajaj OTE 80H</t>
        </is>
      </c>
      <c r="D607" t="inlineStr">
        <is>
          <t>OTE80H</t>
        </is>
      </c>
      <c r="H607" t="n">
        <v>240000</v>
      </c>
      <c r="I607" t="n">
        <v>240000</v>
      </c>
      <c r="J607" t="inlineStr">
        <is>
          <t>efectivo</t>
        </is>
      </c>
    </row>
    <row r="608">
      <c r="A608" s="3" t="n">
        <v>46006</v>
      </c>
      <c r="B608" t="inlineStr">
        <is>
          <t>Darwin Yaimis Ysabel</t>
        </is>
      </c>
      <c r="C608" t="inlineStr">
        <is>
          <t>Bajaj OTE 80H</t>
        </is>
      </c>
      <c r="D608" t="inlineStr">
        <is>
          <t>OTE80H</t>
        </is>
      </c>
      <c r="H608" t="n">
        <v>240000</v>
      </c>
      <c r="I608" t="n">
        <v>240000</v>
      </c>
      <c r="J608" t="inlineStr">
        <is>
          <t>efectivo</t>
        </is>
      </c>
    </row>
    <row r="609">
      <c r="A609" s="3" t="n">
        <v>46017</v>
      </c>
      <c r="B609" t="inlineStr">
        <is>
          <t>Darwin Yaimis Ysabel</t>
        </is>
      </c>
      <c r="C609" t="inlineStr">
        <is>
          <t>Bajaj OTE 80H</t>
        </is>
      </c>
      <c r="D609" t="inlineStr">
        <is>
          <t>OTE80H</t>
        </is>
      </c>
      <c r="H609" t="n">
        <v>240000</v>
      </c>
      <c r="I609" t="n">
        <v>240000</v>
      </c>
      <c r="J609" t="inlineStr">
        <is>
          <t>efectivo</t>
        </is>
      </c>
    </row>
    <row r="610">
      <c r="A610" s="3" t="n">
        <v>46028</v>
      </c>
      <c r="B610" t="inlineStr">
        <is>
          <t>Darwin Yaimis Ysabel</t>
        </is>
      </c>
      <c r="C610" t="inlineStr">
        <is>
          <t>Bajaj OTE 80H</t>
        </is>
      </c>
      <c r="D610" t="inlineStr">
        <is>
          <t>OTE80H</t>
        </is>
      </c>
      <c r="H610" t="n">
        <v>240000</v>
      </c>
      <c r="I610" t="n">
        <v>240000</v>
      </c>
      <c r="J610" t="inlineStr">
        <is>
          <t>efectivo</t>
        </is>
      </c>
    </row>
    <row r="611">
      <c r="A611" s="3" t="n">
        <v>46036</v>
      </c>
      <c r="B611" t="inlineStr">
        <is>
          <t>Darwin Yaimis Ysabel</t>
        </is>
      </c>
      <c r="C611" t="inlineStr">
        <is>
          <t>Bajaj OTE 80H</t>
        </is>
      </c>
      <c r="D611" t="inlineStr">
        <is>
          <t>OTE80H</t>
        </is>
      </c>
      <c r="H611" t="n">
        <v>240000</v>
      </c>
      <c r="I611" t="n">
        <v>240000</v>
      </c>
      <c r="J611" t="inlineStr">
        <is>
          <t>efectivo</t>
        </is>
      </c>
    </row>
    <row r="612">
      <c r="A612" s="3" t="n">
        <v>46043</v>
      </c>
      <c r="B612" t="inlineStr">
        <is>
          <t>Darwin Yaimis Ysabel</t>
        </is>
      </c>
      <c r="C612" t="inlineStr">
        <is>
          <t>Bajaj OTE 80H</t>
        </is>
      </c>
      <c r="D612" t="inlineStr">
        <is>
          <t>OTE80H</t>
        </is>
      </c>
      <c r="H612" t="n">
        <v>240000</v>
      </c>
      <c r="I612" t="n">
        <v>240000</v>
      </c>
      <c r="J612" t="inlineStr">
        <is>
          <t>efectivo</t>
        </is>
      </c>
    </row>
    <row r="613">
      <c r="A613" s="3" t="n">
        <v>46049</v>
      </c>
      <c r="B613" t="inlineStr">
        <is>
          <t>Darwin Yaimis Ysabel</t>
        </is>
      </c>
      <c r="C613" t="inlineStr">
        <is>
          <t>Bajaj OTE 80H</t>
        </is>
      </c>
      <c r="D613" t="inlineStr">
        <is>
          <t>OTE80H</t>
        </is>
      </c>
      <c r="H613" t="n">
        <v>240000</v>
      </c>
      <c r="I613" t="n">
        <v>240000</v>
      </c>
      <c r="J613" t="inlineStr">
        <is>
          <t>efectivo</t>
        </is>
      </c>
    </row>
    <row r="614">
      <c r="A614" s="3" t="n">
        <v>46057</v>
      </c>
      <c r="B614" t="inlineStr">
        <is>
          <t>Darwin Yaimis Ysabel</t>
        </is>
      </c>
      <c r="C614" t="inlineStr">
        <is>
          <t>Bajaj OTE 80H</t>
        </is>
      </c>
      <c r="D614" t="inlineStr">
        <is>
          <t>OTE80H</t>
        </is>
      </c>
      <c r="H614" t="n">
        <v>240000</v>
      </c>
      <c r="I614" t="n">
        <v>240000</v>
      </c>
      <c r="J614" t="inlineStr">
        <is>
          <t>efectivo</t>
        </is>
      </c>
    </row>
    <row r="615">
      <c r="A615" s="3" t="n">
        <v>46065</v>
      </c>
      <c r="B615" t="inlineStr">
        <is>
          <t>Darwin Yaimis Ysabel</t>
        </is>
      </c>
      <c r="C615" t="inlineStr">
        <is>
          <t>Bajaj OTE 80H</t>
        </is>
      </c>
      <c r="D615" t="inlineStr">
        <is>
          <t>OTE80H</t>
        </is>
      </c>
      <c r="H615" t="n">
        <v>240000</v>
      </c>
      <c r="I615" t="n">
        <v>240000</v>
      </c>
      <c r="J615" t="inlineStr">
        <is>
          <t>efectivo</t>
        </is>
      </c>
    </row>
    <row r="616">
      <c r="A616" s="3" t="n">
        <v>46073</v>
      </c>
      <c r="B616" t="inlineStr">
        <is>
          <t>Darwin Yaimis Ysabel</t>
        </is>
      </c>
      <c r="C616" t="inlineStr">
        <is>
          <t>Bajaj OTE 80H</t>
        </is>
      </c>
      <c r="D616" t="inlineStr">
        <is>
          <t>OTE80H</t>
        </is>
      </c>
      <c r="H616" t="n">
        <v>240000</v>
      </c>
      <c r="I616" t="n">
        <v>240000</v>
      </c>
      <c r="J616" t="inlineStr">
        <is>
          <t>efectivo</t>
        </is>
      </c>
    </row>
    <row r="617">
      <c r="A617" s="3" t="n">
        <v>46080</v>
      </c>
      <c r="B617" t="inlineStr">
        <is>
          <t>Darwin Yaimis Ysabel</t>
        </is>
      </c>
      <c r="C617" t="inlineStr">
        <is>
          <t>Bajaj OTE 80H</t>
        </is>
      </c>
      <c r="D617" t="inlineStr">
        <is>
          <t>OTE80H</t>
        </is>
      </c>
      <c r="H617" t="n">
        <v>240000</v>
      </c>
      <c r="I617" t="n">
        <v>240000</v>
      </c>
      <c r="J617" t="inlineStr">
        <is>
          <t>efectivo</t>
        </is>
      </c>
    </row>
    <row r="618">
      <c r="A618" s="3" t="n">
        <v>46089</v>
      </c>
      <c r="B618" t="inlineStr">
        <is>
          <t>Darwin Yaimis Ysabel</t>
        </is>
      </c>
      <c r="C618" t="inlineStr">
        <is>
          <t>Bajaj OTE 80H</t>
        </is>
      </c>
      <c r="D618" t="inlineStr">
        <is>
          <t>OTE80H</t>
        </is>
      </c>
      <c r="H618" t="n">
        <v>240000</v>
      </c>
      <c r="I618" t="n">
        <v>240000</v>
      </c>
      <c r="J618" t="inlineStr">
        <is>
          <t>efectivo</t>
        </is>
      </c>
    </row>
    <row r="619">
      <c r="A619" s="3" t="n">
        <v>46098</v>
      </c>
      <c r="B619" t="inlineStr">
        <is>
          <t>Darwin Yaimis Ysabel</t>
        </is>
      </c>
      <c r="C619" t="inlineStr">
        <is>
          <t>Bajaj OTE 80H</t>
        </is>
      </c>
      <c r="D619" t="inlineStr">
        <is>
          <t>OTE80H</t>
        </is>
      </c>
      <c r="H619" t="n">
        <v>240000</v>
      </c>
      <c r="I619" t="n">
        <v>240000</v>
      </c>
      <c r="J619" t="inlineStr">
        <is>
          <t>efectivo</t>
        </is>
      </c>
    </row>
    <row r="620">
      <c r="A620" s="3" t="n">
        <v>46104</v>
      </c>
      <c r="B620" t="inlineStr">
        <is>
          <t>Darwin Yaimis Ysabel</t>
        </is>
      </c>
      <c r="C620" t="inlineStr">
        <is>
          <t>Bajaj OTE 80H</t>
        </is>
      </c>
      <c r="D620" t="inlineStr">
        <is>
          <t>OTE80H</t>
        </is>
      </c>
      <c r="H620" t="n">
        <v>240000</v>
      </c>
      <c r="I620" t="n">
        <v>240000</v>
      </c>
      <c r="J620" t="inlineStr">
        <is>
          <t>efectivo</t>
        </is>
      </c>
    </row>
    <row r="621">
      <c r="A621" s="3" t="n">
        <v>46110</v>
      </c>
      <c r="B621" t="inlineStr">
        <is>
          <t>Darwin Yaimis Ysabel</t>
        </is>
      </c>
      <c r="C621" t="inlineStr">
        <is>
          <t>Bajaj OTE 80H</t>
        </is>
      </c>
      <c r="D621" t="inlineStr">
        <is>
          <t>OTE80H</t>
        </is>
      </c>
      <c r="H621" t="n">
        <v>240000</v>
      </c>
      <c r="I621" t="n">
        <v>240000</v>
      </c>
      <c r="J621" t="inlineStr">
        <is>
          <t>efectivo</t>
        </is>
      </c>
    </row>
    <row r="622">
      <c r="A622" s="3" t="n">
        <v>46121</v>
      </c>
      <c r="B622" t="inlineStr">
        <is>
          <t>Darwin Yaimis Ysabel</t>
        </is>
      </c>
      <c r="C622" t="inlineStr">
        <is>
          <t>Bajaj OTE 80H</t>
        </is>
      </c>
      <c r="D622" t="inlineStr">
        <is>
          <t>OTE80H</t>
        </is>
      </c>
      <c r="H622" t="n">
        <v>240000</v>
      </c>
      <c r="I622" t="n">
        <v>240000</v>
      </c>
      <c r="J622" t="inlineStr">
        <is>
          <t>efectivo</t>
        </is>
      </c>
    </row>
    <row r="623">
      <c r="A623" s="3" t="n">
        <v>46133</v>
      </c>
      <c r="B623" t="inlineStr">
        <is>
          <t>Darwin Yaimis Ysabel</t>
        </is>
      </c>
      <c r="C623" t="inlineStr">
        <is>
          <t>Bajaj OTE 80H</t>
        </is>
      </c>
      <c r="D623" t="inlineStr">
        <is>
          <t>OTE80H</t>
        </is>
      </c>
      <c r="H623" t="n">
        <v>240000</v>
      </c>
      <c r="I623" t="n">
        <v>240000</v>
      </c>
      <c r="J623" t="inlineStr">
        <is>
          <t>efectivo</t>
        </is>
      </c>
    </row>
    <row r="624">
      <c r="A624" s="3" t="n">
        <v>46141</v>
      </c>
      <c r="B624" t="inlineStr">
        <is>
          <t>Darwin Yaimis Ysabel</t>
        </is>
      </c>
      <c r="C624" t="inlineStr">
        <is>
          <t>Bajaj OTE 80H</t>
        </is>
      </c>
      <c r="D624" t="inlineStr">
        <is>
          <t>OTE80H</t>
        </is>
      </c>
      <c r="H624" t="n">
        <v>240000</v>
      </c>
      <c r="I624" t="n">
        <v>240000</v>
      </c>
      <c r="J624" t="inlineStr">
        <is>
          <t>efectivo</t>
        </is>
      </c>
    </row>
    <row r="625">
      <c r="A625" s="3" t="n">
        <v>46151</v>
      </c>
      <c r="B625" t="inlineStr">
        <is>
          <t>Darwin Yaimis Ysabel</t>
        </is>
      </c>
      <c r="C625" t="inlineStr">
        <is>
          <t>Bajaj OTE 80H</t>
        </is>
      </c>
      <c r="D625" t="inlineStr">
        <is>
          <t>OTE80H</t>
        </is>
      </c>
      <c r="H625" t="n">
        <v>240000</v>
      </c>
      <c r="I625" t="n">
        <v>240000</v>
      </c>
      <c r="J625" t="inlineStr">
        <is>
          <t>efectivo</t>
        </is>
      </c>
    </row>
    <row r="626">
      <c r="A626" s="3" t="n">
        <v>46161</v>
      </c>
      <c r="B626" t="inlineStr">
        <is>
          <t>Darwin Yaimis Ysabel</t>
        </is>
      </c>
      <c r="C626" t="inlineStr">
        <is>
          <t>Bajaj OTE 80H</t>
        </is>
      </c>
      <c r="D626" t="inlineStr">
        <is>
          <t>OTE80H</t>
        </is>
      </c>
      <c r="H626" t="n">
        <v>240000</v>
      </c>
      <c r="I626" t="n">
        <v>240000</v>
      </c>
      <c r="J626" t="inlineStr">
        <is>
          <t>efectivo</t>
        </is>
      </c>
    </row>
    <row r="627">
      <c r="A627" s="3" t="n">
        <v>46171</v>
      </c>
      <c r="B627" t="inlineStr">
        <is>
          <t>Darwin Yaimis Ysabel</t>
        </is>
      </c>
      <c r="C627" t="inlineStr">
        <is>
          <t>Bajaj OTE 80H</t>
        </is>
      </c>
      <c r="D627" t="inlineStr">
        <is>
          <t>OTE80H</t>
        </is>
      </c>
      <c r="H627" t="n">
        <v>240000</v>
      </c>
      <c r="I627" t="n">
        <v>240000</v>
      </c>
      <c r="J627" t="inlineStr">
        <is>
          <t>efectivo</t>
        </is>
      </c>
    </row>
    <row r="628">
      <c r="A628" s="3" t="n">
        <v>46179</v>
      </c>
      <c r="B628" t="inlineStr">
        <is>
          <t>Darwin Yaimis Ysabel</t>
        </is>
      </c>
      <c r="C628" t="inlineStr">
        <is>
          <t>Bajaj OTE 80H</t>
        </is>
      </c>
      <c r="D628" t="inlineStr">
        <is>
          <t>OTE80H</t>
        </is>
      </c>
      <c r="H628" t="n">
        <v>240000</v>
      </c>
      <c r="I628" t="n">
        <v>240000</v>
      </c>
      <c r="J628" t="inlineStr">
        <is>
          <t>efectivo</t>
        </is>
      </c>
    </row>
    <row r="629">
      <c r="A629" s="3" t="n">
        <v>46185</v>
      </c>
      <c r="B629" t="inlineStr">
        <is>
          <t>Darwin Yaimis Ysabel</t>
        </is>
      </c>
      <c r="C629" t="inlineStr">
        <is>
          <t>Bajaj OTE 80H</t>
        </is>
      </c>
      <c r="D629" t="inlineStr">
        <is>
          <t>OTE80H</t>
        </is>
      </c>
      <c r="H629" t="n">
        <v>240000</v>
      </c>
      <c r="I629" t="n">
        <v>240000</v>
      </c>
      <c r="J629" t="inlineStr">
        <is>
          <t>efectivo</t>
        </is>
      </c>
    </row>
    <row r="630">
      <c r="A630" s="3" t="n">
        <v>46194</v>
      </c>
      <c r="B630" t="inlineStr">
        <is>
          <t>Darwin Yaimis Ysabel</t>
        </is>
      </c>
      <c r="C630" t="inlineStr">
        <is>
          <t>Bajaj OTE 80H</t>
        </is>
      </c>
      <c r="D630" t="inlineStr">
        <is>
          <t>OTE80H</t>
        </is>
      </c>
      <c r="H630" t="n">
        <v>240000</v>
      </c>
      <c r="I630" t="n">
        <v>240000</v>
      </c>
      <c r="J630" t="inlineStr">
        <is>
          <t>efectivo</t>
        </is>
      </c>
    </row>
    <row r="631">
      <c r="A631" s="3" t="n">
        <v>46202</v>
      </c>
      <c r="B631" t="inlineStr">
        <is>
          <t>Darwin Yaimis Ysabel</t>
        </is>
      </c>
      <c r="C631" t="inlineStr">
        <is>
          <t>Bajaj OTE 80H</t>
        </is>
      </c>
      <c r="D631" t="inlineStr">
        <is>
          <t>OTE80H</t>
        </is>
      </c>
      <c r="H631" t="n">
        <v>240000</v>
      </c>
      <c r="I631" t="n">
        <v>240000</v>
      </c>
      <c r="J631" t="inlineStr">
        <is>
          <t>efectivo</t>
        </is>
      </c>
    </row>
    <row r="632">
      <c r="A632" s="3" t="n">
        <v>46212</v>
      </c>
      <c r="B632" t="inlineStr">
        <is>
          <t>Darwin Yaimis Ysabel</t>
        </is>
      </c>
      <c r="C632" t="inlineStr">
        <is>
          <t>Bajaj OTE 80H</t>
        </is>
      </c>
      <c r="D632" t="inlineStr">
        <is>
          <t>OTE80H</t>
        </is>
      </c>
      <c r="H632" t="n">
        <v>240000</v>
      </c>
      <c r="I632" t="n">
        <v>240000</v>
      </c>
      <c r="J632" t="inlineStr">
        <is>
          <t>efectivo</t>
        </is>
      </c>
    </row>
    <row r="633">
      <c r="A633" s="3" t="n">
        <v>46220</v>
      </c>
      <c r="B633" t="inlineStr">
        <is>
          <t>Darwin Yaimis Ysabel</t>
        </is>
      </c>
      <c r="C633" t="inlineStr">
        <is>
          <t>Bajaj OTE 80H</t>
        </is>
      </c>
      <c r="D633" t="inlineStr">
        <is>
          <t>OTE80H</t>
        </is>
      </c>
      <c r="H633" t="n">
        <v>240000</v>
      </c>
      <c r="I633" t="n">
        <v>240000</v>
      </c>
      <c r="J633" t="inlineStr">
        <is>
          <t>efectivo</t>
        </is>
      </c>
    </row>
    <row r="634">
      <c r="A634" s="3" t="n">
        <v>45804</v>
      </c>
      <c r="B634" t="inlineStr">
        <is>
          <t>Kevin Rodriguez</t>
        </is>
      </c>
      <c r="C634" t="inlineStr">
        <is>
          <t>Bajaj OXO 04H</t>
        </is>
      </c>
      <c r="D634" t="inlineStr">
        <is>
          <t>OXO04H</t>
        </is>
      </c>
      <c r="H634" t="n">
        <v>240000</v>
      </c>
      <c r="I634" t="n">
        <v>240000</v>
      </c>
      <c r="J634" t="inlineStr">
        <is>
          <t>efectivo</t>
        </is>
      </c>
    </row>
    <row r="635">
      <c r="A635" s="3" t="n">
        <v>45818</v>
      </c>
      <c r="B635" t="inlineStr">
        <is>
          <t>Kevin Rodriguez</t>
        </is>
      </c>
      <c r="C635" t="inlineStr">
        <is>
          <t>Bajaj OXO 04H</t>
        </is>
      </c>
      <c r="D635" t="inlineStr">
        <is>
          <t>OXO04H</t>
        </is>
      </c>
      <c r="H635" t="n">
        <v>240000</v>
      </c>
      <c r="I635" t="n">
        <v>240000</v>
      </c>
      <c r="J635" t="inlineStr">
        <is>
          <t>efectivo</t>
        </is>
      </c>
    </row>
    <row r="636">
      <c r="A636" s="3" t="n">
        <v>45832</v>
      </c>
      <c r="B636" t="inlineStr">
        <is>
          <t>Kevin Rodriguez</t>
        </is>
      </c>
      <c r="C636" t="inlineStr">
        <is>
          <t>Bajaj OXO 04H</t>
        </is>
      </c>
      <c r="D636" t="inlineStr">
        <is>
          <t>OXO04H</t>
        </is>
      </c>
      <c r="H636" t="n">
        <v>240000</v>
      </c>
      <c r="I636" t="n">
        <v>240000</v>
      </c>
      <c r="J636" t="inlineStr">
        <is>
          <t>efectivo</t>
        </is>
      </c>
    </row>
    <row r="637">
      <c r="A637" s="3" t="n">
        <v>45846</v>
      </c>
      <c r="B637" t="inlineStr">
        <is>
          <t>Kevin Rodriguez</t>
        </is>
      </c>
      <c r="C637" t="inlineStr">
        <is>
          <t>Bajaj OXO 04H</t>
        </is>
      </c>
      <c r="D637" t="inlineStr">
        <is>
          <t>OXO04H</t>
        </is>
      </c>
      <c r="H637" t="n">
        <v>240000</v>
      </c>
      <c r="I637" t="n">
        <v>240000</v>
      </c>
      <c r="J637" t="inlineStr">
        <is>
          <t>efectivo</t>
        </is>
      </c>
    </row>
    <row r="638">
      <c r="A638" s="3" t="n">
        <v>45860</v>
      </c>
      <c r="B638" t="inlineStr">
        <is>
          <t>Kevin Rodriguez</t>
        </is>
      </c>
      <c r="C638" t="inlineStr">
        <is>
          <t>Bajaj OXO 04H</t>
        </is>
      </c>
      <c r="D638" t="inlineStr">
        <is>
          <t>OXO04H</t>
        </is>
      </c>
      <c r="H638" t="n">
        <v>240000</v>
      </c>
      <c r="I638" t="n">
        <v>240000</v>
      </c>
      <c r="J638" t="inlineStr">
        <is>
          <t>efectivo</t>
        </is>
      </c>
    </row>
    <row r="639">
      <c r="A639" s="3" t="n">
        <v>45874</v>
      </c>
      <c r="B639" t="inlineStr">
        <is>
          <t>Kevin Rodriguez</t>
        </is>
      </c>
      <c r="C639" t="inlineStr">
        <is>
          <t>Bajaj OXO 04H</t>
        </is>
      </c>
      <c r="D639" t="inlineStr">
        <is>
          <t>OXO04H</t>
        </is>
      </c>
      <c r="H639" t="n">
        <v>240000</v>
      </c>
      <c r="I639" t="n">
        <v>240000</v>
      </c>
      <c r="J639" t="inlineStr">
        <is>
          <t>efectivo</t>
        </is>
      </c>
    </row>
    <row r="640">
      <c r="A640" s="3" t="n">
        <v>45888</v>
      </c>
      <c r="B640" t="inlineStr">
        <is>
          <t>Kevin Rodriguez</t>
        </is>
      </c>
      <c r="C640" t="inlineStr">
        <is>
          <t>Bajaj OXO 04H</t>
        </is>
      </c>
      <c r="D640" t="inlineStr">
        <is>
          <t>OXO04H</t>
        </is>
      </c>
      <c r="H640" t="n">
        <v>240000</v>
      </c>
      <c r="I640" t="n">
        <v>240000</v>
      </c>
      <c r="J640" t="inlineStr">
        <is>
          <t>efectivo</t>
        </is>
      </c>
    </row>
    <row r="641">
      <c r="A641" s="3" t="n">
        <v>45902</v>
      </c>
      <c r="B641" t="inlineStr">
        <is>
          <t>Kevin Rodriguez</t>
        </is>
      </c>
      <c r="C641" t="inlineStr">
        <is>
          <t>Bajaj OXO 04H</t>
        </is>
      </c>
      <c r="D641" t="inlineStr">
        <is>
          <t>OXO04H</t>
        </is>
      </c>
      <c r="H641" t="n">
        <v>240000</v>
      </c>
      <c r="I641" t="n">
        <v>240000</v>
      </c>
      <c r="J641" t="inlineStr">
        <is>
          <t>efectivo</t>
        </is>
      </c>
    </row>
    <row r="642">
      <c r="A642" s="3" t="n">
        <v>45916</v>
      </c>
      <c r="B642" t="inlineStr">
        <is>
          <t>Kevin Rodriguez</t>
        </is>
      </c>
      <c r="C642" t="inlineStr">
        <is>
          <t>Bajaj OXO 04H</t>
        </is>
      </c>
      <c r="D642" t="inlineStr">
        <is>
          <t>OXO04H</t>
        </is>
      </c>
      <c r="H642" t="n">
        <v>240000</v>
      </c>
      <c r="I642" t="n">
        <v>240000</v>
      </c>
      <c r="J642" t="inlineStr">
        <is>
          <t>efectivo</t>
        </is>
      </c>
    </row>
    <row r="643">
      <c r="A643" s="3" t="n">
        <v>45930</v>
      </c>
      <c r="B643" t="inlineStr">
        <is>
          <t>Kevin Rodriguez</t>
        </is>
      </c>
      <c r="C643" t="inlineStr">
        <is>
          <t>Bajaj OXO 04H</t>
        </is>
      </c>
      <c r="D643" t="inlineStr">
        <is>
          <t>OXO04H</t>
        </is>
      </c>
      <c r="H643" t="n">
        <v>240000</v>
      </c>
      <c r="I643" t="n">
        <v>240000</v>
      </c>
      <c r="J643" t="inlineStr">
        <is>
          <t>efectivo</t>
        </is>
      </c>
    </row>
    <row r="644">
      <c r="A644" s="3" t="n">
        <v>45944</v>
      </c>
      <c r="B644" t="inlineStr">
        <is>
          <t>Kevin Rodriguez</t>
        </is>
      </c>
      <c r="C644" t="inlineStr">
        <is>
          <t>Bajaj OXO 04H</t>
        </is>
      </c>
      <c r="D644" t="inlineStr">
        <is>
          <t>OXO04H</t>
        </is>
      </c>
      <c r="H644" t="n">
        <v>240000</v>
      </c>
      <c r="I644" t="n">
        <v>240000</v>
      </c>
      <c r="J644" t="inlineStr">
        <is>
          <t>efectivo</t>
        </is>
      </c>
    </row>
    <row r="645">
      <c r="A645" s="3" t="n">
        <v>45958</v>
      </c>
      <c r="B645" t="inlineStr">
        <is>
          <t>Kevin Rodriguez</t>
        </is>
      </c>
      <c r="C645" t="inlineStr">
        <is>
          <t>Bajaj OXO 04H</t>
        </is>
      </c>
      <c r="D645" t="inlineStr">
        <is>
          <t>OXO04H</t>
        </is>
      </c>
      <c r="H645" t="n">
        <v>240000</v>
      </c>
      <c r="I645" t="n">
        <v>240000</v>
      </c>
      <c r="J645" t="inlineStr">
        <is>
          <t>efectivo</t>
        </is>
      </c>
    </row>
    <row r="646">
      <c r="A646" s="3" t="n">
        <v>45972</v>
      </c>
      <c r="B646" t="inlineStr">
        <is>
          <t>Kevin Rodriguez</t>
        </is>
      </c>
      <c r="C646" t="inlineStr">
        <is>
          <t>Bajaj OXO 04H</t>
        </is>
      </c>
      <c r="D646" t="inlineStr">
        <is>
          <t>OXO04H</t>
        </is>
      </c>
      <c r="H646" t="n">
        <v>240000</v>
      </c>
      <c r="I646" t="n">
        <v>240000</v>
      </c>
      <c r="J646" t="inlineStr">
        <is>
          <t>efectivo</t>
        </is>
      </c>
    </row>
    <row r="647">
      <c r="A647" s="3" t="n">
        <v>45986</v>
      </c>
      <c r="B647" t="inlineStr">
        <is>
          <t>Kevin Rodriguez</t>
        </is>
      </c>
      <c r="C647" t="inlineStr">
        <is>
          <t>Bajaj OXO 04H</t>
        </is>
      </c>
      <c r="D647" t="inlineStr">
        <is>
          <t>OXO04H</t>
        </is>
      </c>
      <c r="H647" t="n">
        <v>240000</v>
      </c>
      <c r="I647" t="n">
        <v>240000</v>
      </c>
      <c r="J647" t="inlineStr">
        <is>
          <t>efectivo</t>
        </is>
      </c>
    </row>
    <row r="648">
      <c r="A648" s="3" t="n">
        <v>46000</v>
      </c>
      <c r="B648" t="inlineStr">
        <is>
          <t>Kevin Rodriguez</t>
        </is>
      </c>
      <c r="C648" t="inlineStr">
        <is>
          <t>Bajaj OXO 04H</t>
        </is>
      </c>
      <c r="D648" t="inlineStr">
        <is>
          <t>OXO04H</t>
        </is>
      </c>
      <c r="H648" t="n">
        <v>240000</v>
      </c>
      <c r="I648" t="n">
        <v>240000</v>
      </c>
      <c r="J648" t="inlineStr">
        <is>
          <t>efectivo</t>
        </is>
      </c>
    </row>
    <row r="649">
      <c r="A649" s="3" t="n">
        <v>46014</v>
      </c>
      <c r="B649" t="inlineStr">
        <is>
          <t>Kevin Rodriguez</t>
        </is>
      </c>
      <c r="C649" t="inlineStr">
        <is>
          <t>Bajaj OXO 04H</t>
        </is>
      </c>
      <c r="D649" t="inlineStr">
        <is>
          <t>OXO04H</t>
        </is>
      </c>
      <c r="H649" t="n">
        <v>240000</v>
      </c>
      <c r="I649" t="n">
        <v>240000</v>
      </c>
      <c r="J649" t="inlineStr">
        <is>
          <t>efectivo</t>
        </is>
      </c>
    </row>
    <row r="650">
      <c r="A650" s="3" t="n">
        <v>46028</v>
      </c>
      <c r="B650" t="inlineStr">
        <is>
          <t>Kevin Rodriguez</t>
        </is>
      </c>
      <c r="C650" t="inlineStr">
        <is>
          <t>Bajaj OXO 04H</t>
        </is>
      </c>
      <c r="D650" t="inlineStr">
        <is>
          <t>OXO04H</t>
        </is>
      </c>
      <c r="H650" t="n">
        <v>240000</v>
      </c>
      <c r="I650" t="n">
        <v>240000</v>
      </c>
      <c r="J650" t="inlineStr">
        <is>
          <t>efectivo</t>
        </is>
      </c>
    </row>
    <row r="651">
      <c r="A651" s="3" t="n">
        <v>46042</v>
      </c>
      <c r="B651" t="inlineStr">
        <is>
          <t>Kevin Rodriguez</t>
        </is>
      </c>
      <c r="C651" t="inlineStr">
        <is>
          <t>Bajaj OXO 04H</t>
        </is>
      </c>
      <c r="D651" t="inlineStr">
        <is>
          <t>OXO04H</t>
        </is>
      </c>
      <c r="H651" t="n">
        <v>240000</v>
      </c>
      <c r="I651" t="n">
        <v>240000</v>
      </c>
      <c r="J651" t="inlineStr">
        <is>
          <t>efectivo</t>
        </is>
      </c>
    </row>
    <row r="652">
      <c r="A652" s="3" t="n">
        <v>46056</v>
      </c>
      <c r="B652" t="inlineStr">
        <is>
          <t>Kevin Rodriguez</t>
        </is>
      </c>
      <c r="C652" t="inlineStr">
        <is>
          <t>Bajaj OXO 04H</t>
        </is>
      </c>
      <c r="D652" t="inlineStr">
        <is>
          <t>OXO04H</t>
        </is>
      </c>
      <c r="H652" t="n">
        <v>240000</v>
      </c>
      <c r="I652" t="n">
        <v>240000</v>
      </c>
      <c r="J652" t="inlineStr">
        <is>
          <t>efectivo</t>
        </is>
      </c>
    </row>
    <row r="653">
      <c r="A653" s="3" t="n">
        <v>46070</v>
      </c>
      <c r="B653" t="inlineStr">
        <is>
          <t>Kevin Rodriguez</t>
        </is>
      </c>
      <c r="C653" t="inlineStr">
        <is>
          <t>Bajaj OXO 04H</t>
        </is>
      </c>
      <c r="D653" t="inlineStr">
        <is>
          <t>OXO04H</t>
        </is>
      </c>
      <c r="H653" t="n">
        <v>240000</v>
      </c>
      <c r="I653" t="n">
        <v>240000</v>
      </c>
      <c r="J653" t="inlineStr">
        <is>
          <t>efectivo</t>
        </is>
      </c>
    </row>
    <row r="654">
      <c r="A654" s="3" t="n">
        <v>46084</v>
      </c>
      <c r="B654" t="inlineStr">
        <is>
          <t>Kevin Rodriguez</t>
        </is>
      </c>
      <c r="C654" t="inlineStr">
        <is>
          <t>Bajaj OXO 04H</t>
        </is>
      </c>
      <c r="D654" t="inlineStr">
        <is>
          <t>OXO04H</t>
        </is>
      </c>
      <c r="H654" t="n">
        <v>240000</v>
      </c>
      <c r="I654" t="n">
        <v>240000</v>
      </c>
      <c r="J654" t="inlineStr">
        <is>
          <t>efectivo</t>
        </is>
      </c>
    </row>
    <row r="655">
      <c r="A655" s="3" t="n">
        <v>46098</v>
      </c>
      <c r="B655" t="inlineStr">
        <is>
          <t>Kevin Rodriguez</t>
        </is>
      </c>
      <c r="C655" t="inlineStr">
        <is>
          <t>Bajaj OXO 04H</t>
        </is>
      </c>
      <c r="D655" t="inlineStr">
        <is>
          <t>OXO04H</t>
        </is>
      </c>
      <c r="H655" t="n">
        <v>240000</v>
      </c>
      <c r="I655" t="n">
        <v>240000</v>
      </c>
      <c r="J655" t="inlineStr">
        <is>
          <t>efectivo</t>
        </is>
      </c>
    </row>
    <row r="656">
      <c r="A656" s="3" t="n">
        <v>46112</v>
      </c>
      <c r="B656" t="inlineStr">
        <is>
          <t>Kevin Rodriguez</t>
        </is>
      </c>
      <c r="C656" t="inlineStr">
        <is>
          <t>Bajaj OXO 04H</t>
        </is>
      </c>
      <c r="D656" t="inlineStr">
        <is>
          <t>OXO04H</t>
        </is>
      </c>
      <c r="H656" t="n">
        <v>240000</v>
      </c>
      <c r="I656" t="n">
        <v>240000</v>
      </c>
      <c r="J656" t="inlineStr">
        <is>
          <t>efectivo</t>
        </is>
      </c>
    </row>
    <row r="657">
      <c r="A657" s="3" t="n">
        <v>46126</v>
      </c>
      <c r="B657" t="inlineStr">
        <is>
          <t>Kevin Rodriguez</t>
        </is>
      </c>
      <c r="C657" t="inlineStr">
        <is>
          <t>Bajaj OXO 04H</t>
        </is>
      </c>
      <c r="D657" t="inlineStr">
        <is>
          <t>OXO04H</t>
        </is>
      </c>
      <c r="H657" t="n">
        <v>240000</v>
      </c>
      <c r="I657" t="n">
        <v>240000</v>
      </c>
      <c r="J657" t="inlineStr">
        <is>
          <t>efectivo</t>
        </is>
      </c>
    </row>
    <row r="658">
      <c r="A658" s="3" t="n">
        <v>46140</v>
      </c>
      <c r="B658" t="inlineStr">
        <is>
          <t>Kevin Rodriguez</t>
        </is>
      </c>
      <c r="C658" t="inlineStr">
        <is>
          <t>Bajaj OXO 04H</t>
        </is>
      </c>
      <c r="D658" t="inlineStr">
        <is>
          <t>OXO04H</t>
        </is>
      </c>
      <c r="H658" t="n">
        <v>240000</v>
      </c>
      <c r="I658" t="n">
        <v>240000</v>
      </c>
      <c r="J658" t="inlineStr">
        <is>
          <t>efectivo</t>
        </is>
      </c>
    </row>
    <row r="659">
      <c r="A659" s="3" t="n">
        <v>46154</v>
      </c>
      <c r="B659" t="inlineStr">
        <is>
          <t>Kevin Rodriguez</t>
        </is>
      </c>
      <c r="C659" t="inlineStr">
        <is>
          <t>Bajaj OXO 04H</t>
        </is>
      </c>
      <c r="D659" t="inlineStr">
        <is>
          <t>OXO04H</t>
        </is>
      </c>
      <c r="H659" t="n">
        <v>240000</v>
      </c>
      <c r="I659" t="n">
        <v>240000</v>
      </c>
      <c r="J659" t="inlineStr">
        <is>
          <t>efectivo</t>
        </is>
      </c>
    </row>
    <row r="660">
      <c r="A660" s="3" t="n">
        <v>46168</v>
      </c>
      <c r="B660" t="inlineStr">
        <is>
          <t>Kevin Rodriguez</t>
        </is>
      </c>
      <c r="C660" t="inlineStr">
        <is>
          <t>Bajaj OXO 04H</t>
        </is>
      </c>
      <c r="D660" t="inlineStr">
        <is>
          <t>OXO04H</t>
        </is>
      </c>
      <c r="H660" t="n">
        <v>240000</v>
      </c>
      <c r="I660" t="n">
        <v>240000</v>
      </c>
      <c r="J660" t="inlineStr">
        <is>
          <t>efectivo</t>
        </is>
      </c>
    </row>
    <row r="661">
      <c r="A661" s="3" t="n">
        <v>46182</v>
      </c>
      <c r="B661" t="inlineStr">
        <is>
          <t>Kevin Rodriguez</t>
        </is>
      </c>
      <c r="C661" t="inlineStr">
        <is>
          <t>Bajaj OXO 04H</t>
        </is>
      </c>
      <c r="D661" t="inlineStr">
        <is>
          <t>OXO04H</t>
        </is>
      </c>
      <c r="H661" t="n">
        <v>240000</v>
      </c>
      <c r="I661" t="n">
        <v>240000</v>
      </c>
      <c r="J661" t="inlineStr">
        <is>
          <t>efectivo</t>
        </is>
      </c>
    </row>
    <row r="662">
      <c r="A662" s="3" t="n">
        <v>46201</v>
      </c>
      <c r="B662" t="inlineStr">
        <is>
          <t>Kevin Rodriguez</t>
        </is>
      </c>
      <c r="C662" t="inlineStr">
        <is>
          <t>Bajaj OXO 04H</t>
        </is>
      </c>
      <c r="D662" t="inlineStr">
        <is>
          <t>OXO04H</t>
        </is>
      </c>
      <c r="H662" t="n">
        <v>240000</v>
      </c>
      <c r="I662" t="n">
        <v>240000</v>
      </c>
      <c r="J662" t="inlineStr">
        <is>
          <t>efectivo</t>
        </is>
      </c>
    </row>
    <row r="663">
      <c r="A663" s="3" t="n">
        <v>45769</v>
      </c>
      <c r="B663" t="inlineStr">
        <is>
          <t>Nabro Maria Jesse</t>
        </is>
      </c>
      <c r="C663" t="inlineStr">
        <is>
          <t>Bajaj OTE 68H</t>
        </is>
      </c>
      <c r="D663" t="inlineStr">
        <is>
          <t>OTE68H</t>
        </is>
      </c>
      <c r="H663" t="n">
        <v>240000</v>
      </c>
      <c r="I663" t="n">
        <v>240000</v>
      </c>
      <c r="J663" t="inlineStr">
        <is>
          <t>efectivo</t>
        </is>
      </c>
    </row>
    <row r="664">
      <c r="A664" s="3" t="n">
        <v>45777</v>
      </c>
      <c r="B664" t="inlineStr">
        <is>
          <t>Nabro Maria Jesse</t>
        </is>
      </c>
      <c r="C664" t="inlineStr">
        <is>
          <t>Bajaj OTE 68H</t>
        </is>
      </c>
      <c r="D664" t="inlineStr">
        <is>
          <t>OTE68H</t>
        </is>
      </c>
      <c r="H664" t="n">
        <v>240000</v>
      </c>
      <c r="I664" t="n">
        <v>240000</v>
      </c>
      <c r="J664" t="inlineStr">
        <is>
          <t>efectivo</t>
        </is>
      </c>
    </row>
    <row r="665">
      <c r="A665" s="3" t="n">
        <v>45785</v>
      </c>
      <c r="B665" t="inlineStr">
        <is>
          <t>Nabro Maria Jesse</t>
        </is>
      </c>
      <c r="C665" t="inlineStr">
        <is>
          <t>Bajaj OTE 68H</t>
        </is>
      </c>
      <c r="D665" t="inlineStr">
        <is>
          <t>OTE68H</t>
        </is>
      </c>
      <c r="H665" t="n">
        <v>240000</v>
      </c>
      <c r="I665" t="n">
        <v>240000</v>
      </c>
      <c r="J665" t="inlineStr">
        <is>
          <t>efectivo</t>
        </is>
      </c>
    </row>
    <row r="666">
      <c r="A666" s="3" t="n">
        <v>45793</v>
      </c>
      <c r="B666" t="inlineStr">
        <is>
          <t>Nabro Maria Jesse</t>
        </is>
      </c>
      <c r="C666" t="inlineStr">
        <is>
          <t>Bajaj OTE 68H</t>
        </is>
      </c>
      <c r="D666" t="inlineStr">
        <is>
          <t>OTE68H</t>
        </is>
      </c>
      <c r="H666" t="n">
        <v>240000</v>
      </c>
      <c r="I666" t="n">
        <v>240000</v>
      </c>
      <c r="J666" t="inlineStr">
        <is>
          <t>efectivo</t>
        </is>
      </c>
    </row>
    <row r="667">
      <c r="A667" s="3" t="n">
        <v>45802</v>
      </c>
      <c r="B667" t="inlineStr">
        <is>
          <t>Nabro Maria Jesse</t>
        </is>
      </c>
      <c r="C667" t="inlineStr">
        <is>
          <t>Bajaj OTE 68H</t>
        </is>
      </c>
      <c r="D667" t="inlineStr">
        <is>
          <t>OTE68H</t>
        </is>
      </c>
      <c r="H667" t="n">
        <v>240000</v>
      </c>
      <c r="I667" t="n">
        <v>240000</v>
      </c>
      <c r="J667" t="inlineStr">
        <is>
          <t>efectivo</t>
        </is>
      </c>
    </row>
    <row r="668">
      <c r="A668" s="3" t="n">
        <v>45810</v>
      </c>
      <c r="B668" t="inlineStr">
        <is>
          <t>Nabro Maria Jesse</t>
        </is>
      </c>
      <c r="C668" t="inlineStr">
        <is>
          <t>Bajaj OTE 68H</t>
        </is>
      </c>
      <c r="D668" t="inlineStr">
        <is>
          <t>OTE68H</t>
        </is>
      </c>
      <c r="H668" t="n">
        <v>240000</v>
      </c>
      <c r="I668" t="n">
        <v>240000</v>
      </c>
      <c r="J668" t="inlineStr">
        <is>
          <t>efectivo</t>
        </is>
      </c>
    </row>
    <row r="669">
      <c r="A669" s="3" t="n">
        <v>45819</v>
      </c>
      <c r="B669" t="inlineStr">
        <is>
          <t>Nabro Maria Jesse</t>
        </is>
      </c>
      <c r="C669" t="inlineStr">
        <is>
          <t>Bajaj OTE 68H</t>
        </is>
      </c>
      <c r="D669" t="inlineStr">
        <is>
          <t>OTE68H</t>
        </is>
      </c>
      <c r="H669" t="n">
        <v>240000</v>
      </c>
      <c r="I669" t="n">
        <v>240000</v>
      </c>
      <c r="J669" t="inlineStr">
        <is>
          <t>efectivo</t>
        </is>
      </c>
    </row>
    <row r="670">
      <c r="A670" s="3" t="n">
        <v>45826</v>
      </c>
      <c r="B670" t="inlineStr">
        <is>
          <t>Nabro Maria Jesse</t>
        </is>
      </c>
      <c r="C670" t="inlineStr">
        <is>
          <t>Bajaj OTE 68H</t>
        </is>
      </c>
      <c r="D670" t="inlineStr">
        <is>
          <t>OTE68H</t>
        </is>
      </c>
      <c r="H670" t="n">
        <v>240000</v>
      </c>
      <c r="I670" t="n">
        <v>240000</v>
      </c>
      <c r="J670" t="inlineStr">
        <is>
          <t>efectivo</t>
        </is>
      </c>
    </row>
    <row r="671">
      <c r="A671" s="3" t="n">
        <v>45833</v>
      </c>
      <c r="B671" t="inlineStr">
        <is>
          <t>Nabro Maria Jesse</t>
        </is>
      </c>
      <c r="C671" t="inlineStr">
        <is>
          <t>Bajaj OTE 68H</t>
        </is>
      </c>
      <c r="D671" t="inlineStr">
        <is>
          <t>OTE68H</t>
        </is>
      </c>
      <c r="H671" t="n">
        <v>240000</v>
      </c>
      <c r="I671" t="n">
        <v>240000</v>
      </c>
      <c r="J671" t="inlineStr">
        <is>
          <t>efectivo</t>
        </is>
      </c>
    </row>
    <row r="672">
      <c r="A672" s="3" t="n">
        <v>45840</v>
      </c>
      <c r="B672" t="inlineStr">
        <is>
          <t>Nabro Maria Jesse</t>
        </is>
      </c>
      <c r="C672" t="inlineStr">
        <is>
          <t>Bajaj OTE 68H</t>
        </is>
      </c>
      <c r="D672" t="inlineStr">
        <is>
          <t>OTE68H</t>
        </is>
      </c>
      <c r="H672" t="n">
        <v>240000</v>
      </c>
      <c r="I672" t="n">
        <v>240000</v>
      </c>
      <c r="J672" t="inlineStr">
        <is>
          <t>efectivo</t>
        </is>
      </c>
    </row>
    <row r="673">
      <c r="A673" s="3" t="n">
        <v>45849</v>
      </c>
      <c r="B673" t="inlineStr">
        <is>
          <t>Nabro Maria Jesse</t>
        </is>
      </c>
      <c r="C673" t="inlineStr">
        <is>
          <t>Bajaj OTE 68H</t>
        </is>
      </c>
      <c r="D673" t="inlineStr">
        <is>
          <t>OTE68H</t>
        </is>
      </c>
      <c r="H673" t="n">
        <v>240000</v>
      </c>
      <c r="I673" t="n">
        <v>240000</v>
      </c>
      <c r="J673" t="inlineStr">
        <is>
          <t>efectivo</t>
        </is>
      </c>
    </row>
    <row r="674">
      <c r="A674" s="3" t="n">
        <v>45857</v>
      </c>
      <c r="B674" t="inlineStr">
        <is>
          <t>Nabro Maria Jesse</t>
        </is>
      </c>
      <c r="C674" t="inlineStr">
        <is>
          <t>Bajaj OTE 68H</t>
        </is>
      </c>
      <c r="D674" t="inlineStr">
        <is>
          <t>OTE68H</t>
        </is>
      </c>
      <c r="H674" t="n">
        <v>240000</v>
      </c>
      <c r="I674" t="n">
        <v>240000</v>
      </c>
      <c r="J674" t="inlineStr">
        <is>
          <t>efectivo</t>
        </is>
      </c>
    </row>
    <row r="675">
      <c r="A675" s="3" t="n">
        <v>45864</v>
      </c>
      <c r="B675" t="inlineStr">
        <is>
          <t>Nabro Maria Jesse</t>
        </is>
      </c>
      <c r="C675" t="inlineStr">
        <is>
          <t>Bajaj OTE 68H</t>
        </is>
      </c>
      <c r="D675" t="inlineStr">
        <is>
          <t>OTE68H</t>
        </is>
      </c>
      <c r="H675" t="n">
        <v>240000</v>
      </c>
      <c r="I675" t="n">
        <v>240000</v>
      </c>
      <c r="J675" t="inlineStr">
        <is>
          <t>efectivo</t>
        </is>
      </c>
    </row>
    <row r="676">
      <c r="A676" s="3" t="n">
        <v>45871</v>
      </c>
      <c r="B676" t="inlineStr">
        <is>
          <t>Nabro Maria Jesse</t>
        </is>
      </c>
      <c r="C676" t="inlineStr">
        <is>
          <t>Bajaj OTE 68H</t>
        </is>
      </c>
      <c r="D676" t="inlineStr">
        <is>
          <t>OTE68H</t>
        </is>
      </c>
      <c r="H676" t="n">
        <v>240000</v>
      </c>
      <c r="I676" t="n">
        <v>240000</v>
      </c>
      <c r="J676" t="inlineStr">
        <is>
          <t>efectivo</t>
        </is>
      </c>
    </row>
    <row r="677">
      <c r="A677" s="3" t="n">
        <v>45879</v>
      </c>
      <c r="B677" t="inlineStr">
        <is>
          <t>Nabro Maria Jesse</t>
        </is>
      </c>
      <c r="C677" t="inlineStr">
        <is>
          <t>Bajaj OTE 68H</t>
        </is>
      </c>
      <c r="D677" t="inlineStr">
        <is>
          <t>OTE68H</t>
        </is>
      </c>
      <c r="H677" t="n">
        <v>240000</v>
      </c>
      <c r="I677" t="n">
        <v>240000</v>
      </c>
      <c r="J677" t="inlineStr">
        <is>
          <t>efectivo</t>
        </is>
      </c>
    </row>
    <row r="678">
      <c r="A678" s="3" t="n">
        <v>45887</v>
      </c>
      <c r="B678" t="inlineStr">
        <is>
          <t>Nabro Maria Jesse</t>
        </is>
      </c>
      <c r="C678" t="inlineStr">
        <is>
          <t>Bajaj OTE 68H</t>
        </is>
      </c>
      <c r="D678" t="inlineStr">
        <is>
          <t>OTE68H</t>
        </is>
      </c>
      <c r="H678" t="n">
        <v>240000</v>
      </c>
      <c r="I678" t="n">
        <v>240000</v>
      </c>
      <c r="J678" t="inlineStr">
        <is>
          <t>efectivo</t>
        </is>
      </c>
    </row>
    <row r="679">
      <c r="A679" s="3" t="n">
        <v>45895</v>
      </c>
      <c r="B679" t="inlineStr">
        <is>
          <t>Nabro Maria Jesse</t>
        </is>
      </c>
      <c r="C679" t="inlineStr">
        <is>
          <t>Bajaj OTE 68H</t>
        </is>
      </c>
      <c r="D679" t="inlineStr">
        <is>
          <t>OTE68H</t>
        </is>
      </c>
      <c r="H679" t="n">
        <v>240000</v>
      </c>
      <c r="I679" t="n">
        <v>240000</v>
      </c>
      <c r="J679" t="inlineStr">
        <is>
          <t>efectivo</t>
        </is>
      </c>
    </row>
    <row r="680">
      <c r="A680" s="3" t="n">
        <v>45903</v>
      </c>
      <c r="B680" t="inlineStr">
        <is>
          <t>Nabro Maria Jesse</t>
        </is>
      </c>
      <c r="C680" t="inlineStr">
        <is>
          <t>Bajaj OTE 68H</t>
        </is>
      </c>
      <c r="D680" t="inlineStr">
        <is>
          <t>OTE68H</t>
        </is>
      </c>
      <c r="H680" t="n">
        <v>240000</v>
      </c>
      <c r="I680" t="n">
        <v>240000</v>
      </c>
      <c r="J680" t="inlineStr">
        <is>
          <t>efectivo</t>
        </is>
      </c>
    </row>
    <row r="681">
      <c r="A681" s="3" t="n">
        <v>45911</v>
      </c>
      <c r="B681" t="inlineStr">
        <is>
          <t>Nabro Maria Jesse</t>
        </is>
      </c>
      <c r="C681" t="inlineStr">
        <is>
          <t>Bajaj OTE 68H</t>
        </is>
      </c>
      <c r="D681" t="inlineStr">
        <is>
          <t>OTE68H</t>
        </is>
      </c>
      <c r="H681" t="n">
        <v>240000</v>
      </c>
      <c r="I681" t="n">
        <v>240000</v>
      </c>
      <c r="J681" t="inlineStr">
        <is>
          <t>efectivo</t>
        </is>
      </c>
    </row>
    <row r="682">
      <c r="A682" s="3" t="n">
        <v>45918</v>
      </c>
      <c r="B682" t="inlineStr">
        <is>
          <t>Nabro Maria Jesse</t>
        </is>
      </c>
      <c r="C682" t="inlineStr">
        <is>
          <t>Bajaj OTE 68H</t>
        </is>
      </c>
      <c r="D682" t="inlineStr">
        <is>
          <t>OTE68H</t>
        </is>
      </c>
      <c r="H682" t="n">
        <v>240000</v>
      </c>
      <c r="I682" t="n">
        <v>240000</v>
      </c>
      <c r="J682" t="inlineStr">
        <is>
          <t>efectivo</t>
        </is>
      </c>
    </row>
    <row r="683">
      <c r="A683" s="3" t="n">
        <v>45925</v>
      </c>
      <c r="B683" t="inlineStr">
        <is>
          <t>Nabro Maria Jesse</t>
        </is>
      </c>
      <c r="C683" t="inlineStr">
        <is>
          <t>Bajaj OTE 68H</t>
        </is>
      </c>
      <c r="D683" t="inlineStr">
        <is>
          <t>OTE68H</t>
        </is>
      </c>
      <c r="H683" t="n">
        <v>240000</v>
      </c>
      <c r="I683" t="n">
        <v>240000</v>
      </c>
      <c r="J683" t="inlineStr">
        <is>
          <t>efectivo</t>
        </is>
      </c>
    </row>
    <row r="684">
      <c r="A684" s="3" t="n">
        <v>45932</v>
      </c>
      <c r="B684" t="inlineStr">
        <is>
          <t>Nabro Maria Jesse</t>
        </is>
      </c>
      <c r="C684" t="inlineStr">
        <is>
          <t>Bajaj OTE 68H</t>
        </is>
      </c>
      <c r="D684" t="inlineStr">
        <is>
          <t>OTE68H</t>
        </is>
      </c>
      <c r="H684" t="n">
        <v>240000</v>
      </c>
      <c r="I684" t="n">
        <v>240000</v>
      </c>
      <c r="J684" t="inlineStr">
        <is>
          <t>efectivo</t>
        </is>
      </c>
    </row>
    <row r="685">
      <c r="A685" s="3" t="n">
        <v>45940</v>
      </c>
      <c r="B685" t="inlineStr">
        <is>
          <t>Nabro Maria Jesse</t>
        </is>
      </c>
      <c r="C685" t="inlineStr">
        <is>
          <t>Bajaj OTE 68H</t>
        </is>
      </c>
      <c r="D685" t="inlineStr">
        <is>
          <t>OTE68H</t>
        </is>
      </c>
      <c r="H685" t="n">
        <v>240000</v>
      </c>
      <c r="I685" t="n">
        <v>240000</v>
      </c>
      <c r="J685" t="inlineStr">
        <is>
          <t>efectivo</t>
        </is>
      </c>
    </row>
    <row r="686">
      <c r="A686" s="3" t="n">
        <v>45948</v>
      </c>
      <c r="B686" t="inlineStr">
        <is>
          <t>Nabro Maria Jesse</t>
        </is>
      </c>
      <c r="C686" t="inlineStr">
        <is>
          <t>Bajaj OTE 68H</t>
        </is>
      </c>
      <c r="D686" t="inlineStr">
        <is>
          <t>OTE68H</t>
        </is>
      </c>
      <c r="H686" t="n">
        <v>240000</v>
      </c>
      <c r="I686" t="n">
        <v>240000</v>
      </c>
      <c r="J686" t="inlineStr">
        <is>
          <t>efectivo</t>
        </is>
      </c>
    </row>
    <row r="687">
      <c r="A687" s="3" t="n">
        <v>45955</v>
      </c>
      <c r="B687" t="inlineStr">
        <is>
          <t>Nabro Maria Jesse</t>
        </is>
      </c>
      <c r="C687" t="inlineStr">
        <is>
          <t>Bajaj OTE 68H</t>
        </is>
      </c>
      <c r="D687" t="inlineStr">
        <is>
          <t>OTE68H</t>
        </is>
      </c>
      <c r="H687" t="n">
        <v>240000</v>
      </c>
      <c r="I687" t="n">
        <v>240000</v>
      </c>
      <c r="J687" t="inlineStr">
        <is>
          <t>efectivo</t>
        </is>
      </c>
    </row>
    <row r="688">
      <c r="A688" s="3" t="n">
        <v>45962</v>
      </c>
      <c r="B688" t="inlineStr">
        <is>
          <t>Nabro Maria Jesse</t>
        </is>
      </c>
      <c r="C688" t="inlineStr">
        <is>
          <t>Bajaj OTE 68H</t>
        </is>
      </c>
      <c r="D688" t="inlineStr">
        <is>
          <t>OTE68H</t>
        </is>
      </c>
      <c r="H688" t="n">
        <v>240000</v>
      </c>
      <c r="I688" t="n">
        <v>240000</v>
      </c>
      <c r="J688" t="inlineStr">
        <is>
          <t>efectivo</t>
        </is>
      </c>
    </row>
    <row r="689">
      <c r="A689" s="3" t="n">
        <v>45970</v>
      </c>
      <c r="B689" t="inlineStr">
        <is>
          <t>Nabro Maria Jesse</t>
        </is>
      </c>
      <c r="C689" t="inlineStr">
        <is>
          <t>Bajaj OTE 68H</t>
        </is>
      </c>
      <c r="D689" t="inlineStr">
        <is>
          <t>OTE68H</t>
        </is>
      </c>
      <c r="H689" t="n">
        <v>240000</v>
      </c>
      <c r="I689" t="n">
        <v>240000</v>
      </c>
      <c r="J689" t="inlineStr">
        <is>
          <t>efectivo</t>
        </is>
      </c>
    </row>
    <row r="690">
      <c r="A690" s="3" t="n">
        <v>45978</v>
      </c>
      <c r="B690" t="inlineStr">
        <is>
          <t>Nabro Maria Jesse</t>
        </is>
      </c>
      <c r="C690" t="inlineStr">
        <is>
          <t>Bajaj OTE 68H</t>
        </is>
      </c>
      <c r="D690" t="inlineStr">
        <is>
          <t>OTE68H</t>
        </is>
      </c>
      <c r="H690" t="n">
        <v>240000</v>
      </c>
      <c r="I690" t="n">
        <v>240000</v>
      </c>
      <c r="J690" t="inlineStr">
        <is>
          <t>efectivo</t>
        </is>
      </c>
    </row>
    <row r="691">
      <c r="A691" s="3" t="n">
        <v>45986</v>
      </c>
      <c r="B691" t="inlineStr">
        <is>
          <t>Nabro Maria Jesse</t>
        </is>
      </c>
      <c r="C691" t="inlineStr">
        <is>
          <t>Bajaj OTE 68H</t>
        </is>
      </c>
      <c r="D691" t="inlineStr">
        <is>
          <t>OTE68H</t>
        </is>
      </c>
      <c r="H691" t="n">
        <v>240000</v>
      </c>
      <c r="I691" t="n">
        <v>240000</v>
      </c>
      <c r="J691" t="inlineStr">
        <is>
          <t>efectivo</t>
        </is>
      </c>
    </row>
    <row r="692">
      <c r="A692" s="3" t="n">
        <v>45994</v>
      </c>
      <c r="B692" t="inlineStr">
        <is>
          <t>Nabro Maria Jesse</t>
        </is>
      </c>
      <c r="C692" t="inlineStr">
        <is>
          <t>Bajaj OTE 68H</t>
        </is>
      </c>
      <c r="D692" t="inlineStr">
        <is>
          <t>OTE68H</t>
        </is>
      </c>
      <c r="H692" t="n">
        <v>240000</v>
      </c>
      <c r="I692" t="n">
        <v>240000</v>
      </c>
      <c r="J692" t="inlineStr">
        <is>
          <t>efectivo</t>
        </is>
      </c>
    </row>
    <row r="693">
      <c r="A693" s="3" t="n">
        <v>46002</v>
      </c>
      <c r="B693" t="inlineStr">
        <is>
          <t>Nabro Maria Jesse</t>
        </is>
      </c>
      <c r="C693" t="inlineStr">
        <is>
          <t>Bajaj OTE 68H</t>
        </is>
      </c>
      <c r="D693" t="inlineStr">
        <is>
          <t>OTE68H</t>
        </is>
      </c>
      <c r="H693" t="n">
        <v>240000</v>
      </c>
      <c r="I693" t="n">
        <v>240000</v>
      </c>
      <c r="J693" t="inlineStr">
        <is>
          <t>efectivo</t>
        </is>
      </c>
    </row>
    <row r="694">
      <c r="A694" s="3" t="n">
        <v>46010</v>
      </c>
      <c r="B694" t="inlineStr">
        <is>
          <t>Nabro Maria Jesse</t>
        </is>
      </c>
      <c r="C694" t="inlineStr">
        <is>
          <t>Bajaj OTE 68H</t>
        </is>
      </c>
      <c r="D694" t="inlineStr">
        <is>
          <t>OTE68H</t>
        </is>
      </c>
      <c r="H694" t="n">
        <v>240000</v>
      </c>
      <c r="I694" t="n">
        <v>240000</v>
      </c>
      <c r="J694" t="inlineStr">
        <is>
          <t>efectivo</t>
        </is>
      </c>
    </row>
    <row r="695">
      <c r="A695" s="3" t="n">
        <v>46018</v>
      </c>
      <c r="B695" t="inlineStr">
        <is>
          <t>Nabro Maria Jesse</t>
        </is>
      </c>
      <c r="C695" t="inlineStr">
        <is>
          <t>Bajaj OTE 68H</t>
        </is>
      </c>
      <c r="D695" t="inlineStr">
        <is>
          <t>OTE68H</t>
        </is>
      </c>
      <c r="H695" t="n">
        <v>240000</v>
      </c>
      <c r="I695" t="n">
        <v>240000</v>
      </c>
      <c r="J695" t="inlineStr">
        <is>
          <t>efectivo</t>
        </is>
      </c>
    </row>
    <row r="696">
      <c r="A696" s="3" t="n">
        <v>46026</v>
      </c>
      <c r="B696" t="inlineStr">
        <is>
          <t>Nabro Maria Jesse</t>
        </is>
      </c>
      <c r="C696" t="inlineStr">
        <is>
          <t>Bajaj OTE 68H</t>
        </is>
      </c>
      <c r="D696" t="inlineStr">
        <is>
          <t>OTE68H</t>
        </is>
      </c>
      <c r="H696" t="n">
        <v>240000</v>
      </c>
      <c r="I696" t="n">
        <v>240000</v>
      </c>
      <c r="J696" t="inlineStr">
        <is>
          <t>efectivo</t>
        </is>
      </c>
    </row>
    <row r="697">
      <c r="A697" s="3" t="n">
        <v>46034</v>
      </c>
      <c r="B697" t="inlineStr">
        <is>
          <t>Nabro Maria Jesse</t>
        </is>
      </c>
      <c r="C697" t="inlineStr">
        <is>
          <t>Bajaj OTE 68H</t>
        </is>
      </c>
      <c r="D697" t="inlineStr">
        <is>
          <t>OTE68H</t>
        </is>
      </c>
      <c r="H697" t="n">
        <v>240000</v>
      </c>
      <c r="I697" t="n">
        <v>240000</v>
      </c>
      <c r="J697" t="inlineStr">
        <is>
          <t>efectivo</t>
        </is>
      </c>
    </row>
    <row r="698">
      <c r="A698" s="3" t="n">
        <v>46042</v>
      </c>
      <c r="B698" t="inlineStr">
        <is>
          <t>Nabro Maria Jesse</t>
        </is>
      </c>
      <c r="C698" t="inlineStr">
        <is>
          <t>Bajaj OTE 68H</t>
        </is>
      </c>
      <c r="D698" t="inlineStr">
        <is>
          <t>OTE68H</t>
        </is>
      </c>
      <c r="H698" t="n">
        <v>240000</v>
      </c>
      <c r="I698" t="n">
        <v>240000</v>
      </c>
      <c r="J698" t="inlineStr">
        <is>
          <t>efectivo</t>
        </is>
      </c>
    </row>
    <row r="699">
      <c r="A699" s="3" t="n">
        <v>46050</v>
      </c>
      <c r="B699" t="inlineStr">
        <is>
          <t>Nabro Maria Jesse</t>
        </is>
      </c>
      <c r="C699" t="inlineStr">
        <is>
          <t>Bajaj OTE 68H</t>
        </is>
      </c>
      <c r="D699" t="inlineStr">
        <is>
          <t>OTE68H</t>
        </is>
      </c>
      <c r="H699" t="n">
        <v>240000</v>
      </c>
      <c r="I699" t="n">
        <v>240000</v>
      </c>
      <c r="J699" t="inlineStr">
        <is>
          <t>efectivo</t>
        </is>
      </c>
    </row>
    <row r="700">
      <c r="A700" s="3" t="n">
        <v>46058</v>
      </c>
      <c r="B700" t="inlineStr">
        <is>
          <t>Nabro Maria Jesse</t>
        </is>
      </c>
      <c r="C700" t="inlineStr">
        <is>
          <t>Bajaj OTE 68H</t>
        </is>
      </c>
      <c r="D700" t="inlineStr">
        <is>
          <t>OTE68H</t>
        </is>
      </c>
      <c r="H700" t="n">
        <v>240000</v>
      </c>
      <c r="I700" t="n">
        <v>240000</v>
      </c>
      <c r="J700" t="inlineStr">
        <is>
          <t>efectivo</t>
        </is>
      </c>
    </row>
    <row r="701">
      <c r="A701" s="3" t="n">
        <v>46066</v>
      </c>
      <c r="B701" t="inlineStr">
        <is>
          <t>Nabro Maria Jesse</t>
        </is>
      </c>
      <c r="C701" t="inlineStr">
        <is>
          <t>Bajaj OTE 68H</t>
        </is>
      </c>
      <c r="D701" t="inlineStr">
        <is>
          <t>OTE68H</t>
        </is>
      </c>
      <c r="H701" t="n">
        <v>240000</v>
      </c>
      <c r="I701" t="n">
        <v>240000</v>
      </c>
      <c r="J701" t="inlineStr">
        <is>
          <t>efectivo</t>
        </is>
      </c>
    </row>
    <row r="702">
      <c r="A702" s="3" t="n">
        <v>46074</v>
      </c>
      <c r="B702" t="inlineStr">
        <is>
          <t>Nabro Maria Jesse</t>
        </is>
      </c>
      <c r="C702" t="inlineStr">
        <is>
          <t>Bajaj OTE 68H</t>
        </is>
      </c>
      <c r="D702" t="inlineStr">
        <is>
          <t>OTE68H</t>
        </is>
      </c>
      <c r="H702" t="n">
        <v>240000</v>
      </c>
      <c r="I702" t="n">
        <v>240000</v>
      </c>
      <c r="J702" t="inlineStr">
        <is>
          <t>efectivo</t>
        </is>
      </c>
    </row>
    <row r="703">
      <c r="A703" s="3" t="n">
        <v>46082</v>
      </c>
      <c r="B703" t="inlineStr">
        <is>
          <t>Nabro Maria Jesse</t>
        </is>
      </c>
      <c r="C703" t="inlineStr">
        <is>
          <t>Bajaj OTE 68H</t>
        </is>
      </c>
      <c r="D703" t="inlineStr">
        <is>
          <t>OTE68H</t>
        </is>
      </c>
      <c r="H703" t="n">
        <v>240000</v>
      </c>
      <c r="I703" t="n">
        <v>240000</v>
      </c>
      <c r="J703" t="inlineStr">
        <is>
          <t>efectivo</t>
        </is>
      </c>
    </row>
    <row r="704">
      <c r="A704" s="3" t="n">
        <v>46090</v>
      </c>
      <c r="B704" t="inlineStr">
        <is>
          <t>Nabro Maria Jesse</t>
        </is>
      </c>
      <c r="C704" t="inlineStr">
        <is>
          <t>Bajaj OTE 68H</t>
        </is>
      </c>
      <c r="D704" t="inlineStr">
        <is>
          <t>OTE68H</t>
        </is>
      </c>
      <c r="H704" t="n">
        <v>240000</v>
      </c>
      <c r="I704" t="n">
        <v>240000</v>
      </c>
      <c r="J704" t="inlineStr">
        <is>
          <t>efectivo</t>
        </is>
      </c>
    </row>
    <row r="705">
      <c r="A705" s="3" t="n">
        <v>46098</v>
      </c>
      <c r="B705" t="inlineStr">
        <is>
          <t>Nabro Maria Jesse</t>
        </is>
      </c>
      <c r="C705" t="inlineStr">
        <is>
          <t>Bajaj OTE 68H</t>
        </is>
      </c>
      <c r="D705" t="inlineStr">
        <is>
          <t>OTE68H</t>
        </is>
      </c>
      <c r="H705" t="n">
        <v>240000</v>
      </c>
      <c r="I705" t="n">
        <v>240000</v>
      </c>
      <c r="J705" t="inlineStr">
        <is>
          <t>efectivo</t>
        </is>
      </c>
    </row>
    <row r="706">
      <c r="A706" s="3" t="n">
        <v>46106</v>
      </c>
      <c r="B706" t="inlineStr">
        <is>
          <t>Nabro Maria Jesse</t>
        </is>
      </c>
      <c r="C706" t="inlineStr">
        <is>
          <t>Bajaj OTE 68H</t>
        </is>
      </c>
      <c r="D706" t="inlineStr">
        <is>
          <t>OTE68H</t>
        </is>
      </c>
      <c r="H706" t="n">
        <v>240000</v>
      </c>
      <c r="I706" t="n">
        <v>240000</v>
      </c>
      <c r="J706" t="inlineStr">
        <is>
          <t>efectivo</t>
        </is>
      </c>
    </row>
    <row r="707">
      <c r="A707" s="3" t="n">
        <v>46133</v>
      </c>
      <c r="B707" t="inlineStr">
        <is>
          <t>Nabro Maria Jesse</t>
        </is>
      </c>
      <c r="C707" t="inlineStr">
        <is>
          <t>Bajaj OTE 68H</t>
        </is>
      </c>
      <c r="D707" t="inlineStr">
        <is>
          <t>OTE68H</t>
        </is>
      </c>
      <c r="H707" t="n">
        <v>240000</v>
      </c>
      <c r="I707" t="n">
        <v>240000</v>
      </c>
      <c r="J707" t="inlineStr">
        <is>
          <t>efectivo</t>
        </is>
      </c>
    </row>
    <row r="708">
      <c r="A708" s="3" t="n">
        <v>46143</v>
      </c>
      <c r="B708" t="inlineStr">
        <is>
          <t>Nabro Maria Jesse</t>
        </is>
      </c>
      <c r="C708" t="inlineStr">
        <is>
          <t>Bajaj OTE 68H</t>
        </is>
      </c>
      <c r="D708" t="inlineStr">
        <is>
          <t>OTE68H</t>
        </is>
      </c>
      <c r="H708" t="n">
        <v>240000</v>
      </c>
      <c r="I708" t="n">
        <v>240000</v>
      </c>
      <c r="J708" t="inlineStr">
        <is>
          <t>efectivo</t>
        </is>
      </c>
    </row>
    <row r="709">
      <c r="A709" s="3" t="n">
        <v>46164</v>
      </c>
      <c r="B709" t="inlineStr">
        <is>
          <t>Nabro Maria Jesse</t>
        </is>
      </c>
      <c r="C709" t="inlineStr">
        <is>
          <t>Bajaj OTE 68H</t>
        </is>
      </c>
      <c r="D709" t="inlineStr">
        <is>
          <t>OTE68H</t>
        </is>
      </c>
      <c r="H709" t="n">
        <v>240000</v>
      </c>
      <c r="I709" t="n">
        <v>240000</v>
      </c>
      <c r="J709" t="inlineStr">
        <is>
          <t>efectivo</t>
        </is>
      </c>
    </row>
    <row r="710">
      <c r="A710" s="3" t="n">
        <v>46181</v>
      </c>
      <c r="B710" t="inlineStr">
        <is>
          <t>Nabro Maria Jesse</t>
        </is>
      </c>
      <c r="C710" t="inlineStr">
        <is>
          <t>Bajaj OTE 68H</t>
        </is>
      </c>
      <c r="D710" t="inlineStr">
        <is>
          <t>OTE68H</t>
        </is>
      </c>
      <c r="H710" t="n">
        <v>240000</v>
      </c>
      <c r="I710" t="n">
        <v>240000</v>
      </c>
      <c r="J710" t="inlineStr">
        <is>
          <t>efectivo</t>
        </is>
      </c>
    </row>
    <row r="711">
      <c r="A711" s="3" t="n">
        <v>46195</v>
      </c>
      <c r="B711" t="inlineStr">
        <is>
          <t>Nabro Maria Jesse</t>
        </is>
      </c>
      <c r="C711" t="inlineStr">
        <is>
          <t>Bajaj OTE 68H</t>
        </is>
      </c>
      <c r="D711" t="inlineStr">
        <is>
          <t>OTE68H</t>
        </is>
      </c>
      <c r="H711" t="n">
        <v>240000</v>
      </c>
      <c r="I711" t="n">
        <v>240000</v>
      </c>
      <c r="J711" t="inlineStr">
        <is>
          <t>efectivo</t>
        </is>
      </c>
    </row>
    <row r="712">
      <c r="A712" s="3" t="n">
        <v>46205</v>
      </c>
      <c r="B712" t="inlineStr">
        <is>
          <t>Nabro Maria Jesse</t>
        </is>
      </c>
      <c r="C712" t="inlineStr">
        <is>
          <t>Bajaj OTE 68H</t>
        </is>
      </c>
      <c r="D712" t="inlineStr">
        <is>
          <t>OTE68H</t>
        </is>
      </c>
      <c r="H712" t="n">
        <v>240000</v>
      </c>
      <c r="I712" t="n">
        <v>240000</v>
      </c>
      <c r="J712" t="inlineStr">
        <is>
          <t>efectivo</t>
        </is>
      </c>
    </row>
    <row r="713">
      <c r="A713" s="3" t="n">
        <v>46223</v>
      </c>
      <c r="B713" t="inlineStr">
        <is>
          <t>Nabro Maria Jesse</t>
        </is>
      </c>
      <c r="C713" t="inlineStr">
        <is>
          <t>Bajaj OTE 68H</t>
        </is>
      </c>
      <c r="D713" t="inlineStr">
        <is>
          <t>OTE68H</t>
        </is>
      </c>
      <c r="H713" t="n">
        <v>240000</v>
      </c>
      <c r="I713" t="n">
        <v>240000</v>
      </c>
      <c r="J713" t="inlineStr">
        <is>
          <t>efectivo</t>
        </is>
      </c>
    </row>
    <row r="714">
      <c r="A714" s="3" t="n">
        <v>45808</v>
      </c>
      <c r="B714" t="inlineStr">
        <is>
          <t>Lucho Laura Nosu</t>
        </is>
      </c>
      <c r="C714" t="inlineStr">
        <is>
          <t>Bajaj OTF 59H</t>
        </is>
      </c>
      <c r="D714" t="inlineStr">
        <is>
          <t>OTF59H</t>
        </is>
      </c>
      <c r="H714" t="n">
        <v>240000</v>
      </c>
      <c r="I714" t="n">
        <v>240000</v>
      </c>
      <c r="J714" t="inlineStr">
        <is>
          <t>efectivo</t>
        </is>
      </c>
    </row>
    <row r="715">
      <c r="A715" s="3" t="n">
        <v>45816</v>
      </c>
      <c r="B715" t="inlineStr">
        <is>
          <t>Lucho Laura Nosu</t>
        </is>
      </c>
      <c r="C715" t="inlineStr">
        <is>
          <t>Bajaj OTF 59H</t>
        </is>
      </c>
      <c r="D715" t="inlineStr">
        <is>
          <t>OTF59H</t>
        </is>
      </c>
      <c r="H715" t="n">
        <v>240000</v>
      </c>
      <c r="I715" t="n">
        <v>240000</v>
      </c>
      <c r="J715" t="inlineStr">
        <is>
          <t>efectivo</t>
        </is>
      </c>
    </row>
    <row r="716">
      <c r="A716" s="3" t="n">
        <v>45824</v>
      </c>
      <c r="B716" t="inlineStr">
        <is>
          <t>Lucho Laura Nosu</t>
        </is>
      </c>
      <c r="C716" t="inlineStr">
        <is>
          <t>Bajaj OTF 59H</t>
        </is>
      </c>
      <c r="D716" t="inlineStr">
        <is>
          <t>OTF59H</t>
        </is>
      </c>
      <c r="H716" t="n">
        <v>240000</v>
      </c>
      <c r="I716" t="n">
        <v>240000</v>
      </c>
      <c r="J716" t="inlineStr">
        <is>
          <t>efectivo</t>
        </is>
      </c>
    </row>
    <row r="717">
      <c r="A717" s="3" t="n">
        <v>45832</v>
      </c>
      <c r="B717" t="inlineStr">
        <is>
          <t>Lucho Laura Nosu</t>
        </is>
      </c>
      <c r="C717" t="inlineStr">
        <is>
          <t>Bajaj OTF 59H</t>
        </is>
      </c>
      <c r="D717" t="inlineStr">
        <is>
          <t>OTF59H</t>
        </is>
      </c>
      <c r="H717" t="n">
        <v>240000</v>
      </c>
      <c r="I717" t="n">
        <v>240000</v>
      </c>
      <c r="J717" t="inlineStr">
        <is>
          <t>efectivo</t>
        </is>
      </c>
    </row>
    <row r="718">
      <c r="A718" s="3" t="n">
        <v>45840</v>
      </c>
      <c r="B718" t="inlineStr">
        <is>
          <t>Lucho Laura Nosu</t>
        </is>
      </c>
      <c r="C718" t="inlineStr">
        <is>
          <t>Bajaj OTF 59H</t>
        </is>
      </c>
      <c r="D718" t="inlineStr">
        <is>
          <t>OTF59H</t>
        </is>
      </c>
      <c r="H718" t="n">
        <v>240000</v>
      </c>
      <c r="I718" t="n">
        <v>240000</v>
      </c>
      <c r="J718" t="inlineStr">
        <is>
          <t>efectivo</t>
        </is>
      </c>
    </row>
    <row r="719">
      <c r="A719" s="3" t="n">
        <v>45848</v>
      </c>
      <c r="B719" t="inlineStr">
        <is>
          <t>Lucho Laura Nosu</t>
        </is>
      </c>
      <c r="C719" t="inlineStr">
        <is>
          <t>Bajaj OTF 59H</t>
        </is>
      </c>
      <c r="D719" t="inlineStr">
        <is>
          <t>OTF59H</t>
        </is>
      </c>
      <c r="H719" t="n">
        <v>240000</v>
      </c>
      <c r="I719" t="n">
        <v>240000</v>
      </c>
      <c r="J719" t="inlineStr">
        <is>
          <t>efectivo</t>
        </is>
      </c>
    </row>
    <row r="720">
      <c r="A720" s="3" t="n">
        <v>45850</v>
      </c>
      <c r="B720" t="inlineStr">
        <is>
          <t>Lucho Laura Nosu</t>
        </is>
      </c>
      <c r="C720" t="inlineStr">
        <is>
          <t>Bajaj OTF 59H</t>
        </is>
      </c>
      <c r="D720" t="inlineStr">
        <is>
          <t>OTF59H</t>
        </is>
      </c>
      <c r="H720" t="n">
        <v>240000</v>
      </c>
      <c r="I720" t="n">
        <v>240000</v>
      </c>
      <c r="J720" t="inlineStr">
        <is>
          <t>efectivo</t>
        </is>
      </c>
    </row>
    <row r="721">
      <c r="A721" s="3" t="n">
        <v>45864</v>
      </c>
      <c r="B721" t="inlineStr">
        <is>
          <t>Lucho Laura Nosu</t>
        </is>
      </c>
      <c r="C721" t="inlineStr">
        <is>
          <t>Bajaj OTF 59H</t>
        </is>
      </c>
      <c r="D721" t="inlineStr">
        <is>
          <t>OTF59H</t>
        </is>
      </c>
      <c r="H721" t="n">
        <v>240000</v>
      </c>
      <c r="I721" t="n">
        <v>240000</v>
      </c>
      <c r="J721" t="inlineStr">
        <is>
          <t>efectivo</t>
        </is>
      </c>
    </row>
    <row r="722">
      <c r="A722" s="3" t="n">
        <v>45871</v>
      </c>
      <c r="B722" t="inlineStr">
        <is>
          <t>Lucho Laura Nosu</t>
        </is>
      </c>
      <c r="C722" t="inlineStr">
        <is>
          <t>Bajaj OTF 59H</t>
        </is>
      </c>
      <c r="D722" t="inlineStr">
        <is>
          <t>OTF59H</t>
        </is>
      </c>
      <c r="H722" t="n">
        <v>240000</v>
      </c>
      <c r="I722" t="n">
        <v>240000</v>
      </c>
      <c r="J722" t="inlineStr">
        <is>
          <t>efectivo</t>
        </is>
      </c>
    </row>
    <row r="723">
      <c r="A723" s="3" t="n">
        <v>45879</v>
      </c>
      <c r="B723" t="inlineStr">
        <is>
          <t>Lucho Laura Nosu</t>
        </is>
      </c>
      <c r="C723" t="inlineStr">
        <is>
          <t>Bajaj OTF 59H</t>
        </is>
      </c>
      <c r="D723" t="inlineStr">
        <is>
          <t>OTF59H</t>
        </is>
      </c>
      <c r="H723" t="n">
        <v>240000</v>
      </c>
      <c r="I723" t="n">
        <v>240000</v>
      </c>
      <c r="J723" t="inlineStr">
        <is>
          <t>efectivo</t>
        </is>
      </c>
    </row>
    <row r="724">
      <c r="A724" s="3" t="n">
        <v>45887</v>
      </c>
      <c r="B724" t="inlineStr">
        <is>
          <t>Lucho Laura Nosu</t>
        </is>
      </c>
      <c r="C724" t="inlineStr">
        <is>
          <t>Bajaj OTF 59H</t>
        </is>
      </c>
      <c r="D724" t="inlineStr">
        <is>
          <t>OTF59H</t>
        </is>
      </c>
      <c r="H724" t="n">
        <v>240000</v>
      </c>
      <c r="I724" t="n">
        <v>240000</v>
      </c>
      <c r="J724" t="inlineStr">
        <is>
          <t>efectivo</t>
        </is>
      </c>
    </row>
    <row r="725">
      <c r="A725" s="3" t="n">
        <v>45895</v>
      </c>
      <c r="B725" t="inlineStr">
        <is>
          <t>Lucho Laura Nosu</t>
        </is>
      </c>
      <c r="C725" t="inlineStr">
        <is>
          <t>Bajaj OTF 59H</t>
        </is>
      </c>
      <c r="D725" t="inlineStr">
        <is>
          <t>OTF59H</t>
        </is>
      </c>
      <c r="H725" t="n">
        <v>240000</v>
      </c>
      <c r="I725" t="n">
        <v>240000</v>
      </c>
      <c r="J725" t="inlineStr">
        <is>
          <t>efectivo</t>
        </is>
      </c>
    </row>
    <row r="726">
      <c r="A726" s="3" t="n">
        <v>45903</v>
      </c>
      <c r="B726" t="inlineStr">
        <is>
          <t>Lucho Laura Nosu</t>
        </is>
      </c>
      <c r="C726" t="inlineStr">
        <is>
          <t>Bajaj OTF 59H</t>
        </is>
      </c>
      <c r="D726" t="inlineStr">
        <is>
          <t>OTF59H</t>
        </is>
      </c>
      <c r="H726" t="n">
        <v>240000</v>
      </c>
      <c r="I726" t="n">
        <v>240000</v>
      </c>
      <c r="J726" t="inlineStr">
        <is>
          <t>efectivo</t>
        </is>
      </c>
    </row>
    <row r="727">
      <c r="A727" s="3" t="n">
        <v>45911</v>
      </c>
      <c r="B727" t="inlineStr">
        <is>
          <t>Lucho Laura Nosu</t>
        </is>
      </c>
      <c r="C727" t="inlineStr">
        <is>
          <t>Bajaj OTF 59H</t>
        </is>
      </c>
      <c r="D727" t="inlineStr">
        <is>
          <t>OTF59H</t>
        </is>
      </c>
      <c r="H727" t="n">
        <v>240000</v>
      </c>
      <c r="I727" t="n">
        <v>240000</v>
      </c>
      <c r="J727" t="inlineStr">
        <is>
          <t>efectivo</t>
        </is>
      </c>
    </row>
    <row r="728">
      <c r="A728" s="3" t="n">
        <v>45919</v>
      </c>
      <c r="B728" t="inlineStr">
        <is>
          <t>Lucho Laura Nosu</t>
        </is>
      </c>
      <c r="C728" t="inlineStr">
        <is>
          <t>Bajaj OTF 59H</t>
        </is>
      </c>
      <c r="D728" t="inlineStr">
        <is>
          <t>OTF59H</t>
        </is>
      </c>
      <c r="H728" t="n">
        <v>240000</v>
      </c>
      <c r="I728" t="n">
        <v>240000</v>
      </c>
      <c r="J728" t="inlineStr">
        <is>
          <t>efectivo</t>
        </is>
      </c>
    </row>
    <row r="729">
      <c r="A729" s="3" t="n">
        <v>45927</v>
      </c>
      <c r="B729" t="inlineStr">
        <is>
          <t>Lucho Laura Nosu</t>
        </is>
      </c>
      <c r="C729" t="inlineStr">
        <is>
          <t>Bajaj OTF 59H</t>
        </is>
      </c>
      <c r="D729" t="inlineStr">
        <is>
          <t>OTF59H</t>
        </is>
      </c>
      <c r="H729" t="n">
        <v>240000</v>
      </c>
      <c r="I729" t="n">
        <v>240000</v>
      </c>
      <c r="J729" t="inlineStr">
        <is>
          <t>efectivo</t>
        </is>
      </c>
    </row>
    <row r="730">
      <c r="A730" s="3" t="n">
        <v>45935</v>
      </c>
      <c r="B730" t="inlineStr">
        <is>
          <t>Lucho Laura Nosu</t>
        </is>
      </c>
      <c r="C730" t="inlineStr">
        <is>
          <t>Bajaj OTF 59H</t>
        </is>
      </c>
      <c r="D730" t="inlineStr">
        <is>
          <t>OTF59H</t>
        </is>
      </c>
      <c r="H730" t="n">
        <v>240000</v>
      </c>
      <c r="I730" t="n">
        <v>240000</v>
      </c>
      <c r="J730" t="inlineStr">
        <is>
          <t>efectivo</t>
        </is>
      </c>
    </row>
    <row r="731">
      <c r="A731" s="3" t="n">
        <v>45944</v>
      </c>
      <c r="B731" t="inlineStr">
        <is>
          <t>Lucho Laura Nosu</t>
        </is>
      </c>
      <c r="C731" t="inlineStr">
        <is>
          <t>Bajaj OTF 59H</t>
        </is>
      </c>
      <c r="D731" t="inlineStr">
        <is>
          <t>OTF59H</t>
        </is>
      </c>
      <c r="H731" t="n">
        <v>240000</v>
      </c>
      <c r="I731" t="n">
        <v>240000</v>
      </c>
      <c r="J731" t="inlineStr">
        <is>
          <t>efectivo</t>
        </is>
      </c>
    </row>
    <row r="732">
      <c r="A732" s="3" t="n">
        <v>45952</v>
      </c>
      <c r="B732" t="inlineStr">
        <is>
          <t>Lucho Laura Nosu</t>
        </is>
      </c>
      <c r="C732" t="inlineStr">
        <is>
          <t>Bajaj OTF 59H</t>
        </is>
      </c>
      <c r="D732" t="inlineStr">
        <is>
          <t>OTF59H</t>
        </is>
      </c>
      <c r="H732" t="n">
        <v>240000</v>
      </c>
      <c r="I732" t="n">
        <v>240000</v>
      </c>
      <c r="J732" t="inlineStr">
        <is>
          <t>efectivo</t>
        </is>
      </c>
    </row>
    <row r="733">
      <c r="A733" s="3" t="n">
        <v>45960</v>
      </c>
      <c r="B733" t="inlineStr">
        <is>
          <t>Lucho Laura Nosu</t>
        </is>
      </c>
      <c r="C733" t="inlineStr">
        <is>
          <t>Bajaj OTF 59H</t>
        </is>
      </c>
      <c r="D733" t="inlineStr">
        <is>
          <t>OTF59H</t>
        </is>
      </c>
      <c r="H733" t="n">
        <v>240000</v>
      </c>
      <c r="I733" t="n">
        <v>240000</v>
      </c>
      <c r="J733" t="inlineStr">
        <is>
          <t>efectivo</t>
        </is>
      </c>
    </row>
    <row r="734">
      <c r="A734" s="3" t="n">
        <v>45968</v>
      </c>
      <c r="B734" t="inlineStr">
        <is>
          <t>Lucho Laura Nosu</t>
        </is>
      </c>
      <c r="C734" t="inlineStr">
        <is>
          <t>Bajaj OTF 59H</t>
        </is>
      </c>
      <c r="D734" t="inlineStr">
        <is>
          <t>OTF59H</t>
        </is>
      </c>
      <c r="H734" t="n">
        <v>240000</v>
      </c>
      <c r="I734" t="n">
        <v>240000</v>
      </c>
      <c r="J734" t="inlineStr">
        <is>
          <t>efectivo</t>
        </is>
      </c>
    </row>
    <row r="735">
      <c r="A735" s="3" t="n">
        <v>45969</v>
      </c>
      <c r="B735" t="inlineStr">
        <is>
          <t>Lucho Laura Nosu</t>
        </is>
      </c>
      <c r="C735" t="inlineStr">
        <is>
          <t>Bajaj OTF 59H</t>
        </is>
      </c>
      <c r="D735" t="inlineStr">
        <is>
          <t>OTF59H</t>
        </is>
      </c>
      <c r="H735" t="n">
        <v>240000</v>
      </c>
      <c r="I735" t="n">
        <v>240000</v>
      </c>
      <c r="J735" t="inlineStr">
        <is>
          <t>efectivo</t>
        </is>
      </c>
    </row>
    <row r="736">
      <c r="A736" s="3" t="n">
        <v>45984</v>
      </c>
      <c r="B736" t="inlineStr">
        <is>
          <t>Lucho Laura Nosu</t>
        </is>
      </c>
      <c r="C736" t="inlineStr">
        <is>
          <t>Bajaj OTF 59H</t>
        </is>
      </c>
      <c r="D736" t="inlineStr">
        <is>
          <t>OTF59H</t>
        </is>
      </c>
      <c r="H736" t="n">
        <v>240000</v>
      </c>
      <c r="I736" t="n">
        <v>240000</v>
      </c>
      <c r="J736" t="inlineStr">
        <is>
          <t>efectivo</t>
        </is>
      </c>
    </row>
    <row r="737">
      <c r="A737" s="3" t="n">
        <v>45991</v>
      </c>
      <c r="B737" t="inlineStr">
        <is>
          <t>Lucho Laura Nosu</t>
        </is>
      </c>
      <c r="C737" t="inlineStr">
        <is>
          <t>Bajaj OTF 59H</t>
        </is>
      </c>
      <c r="D737" t="inlineStr">
        <is>
          <t>OTF59H</t>
        </is>
      </c>
      <c r="H737" t="n">
        <v>240000</v>
      </c>
      <c r="I737" t="n">
        <v>240000</v>
      </c>
      <c r="J737" t="inlineStr">
        <is>
          <t>efectivo</t>
        </is>
      </c>
    </row>
    <row r="738">
      <c r="A738" s="3" t="n">
        <v>46004</v>
      </c>
      <c r="B738" t="inlineStr">
        <is>
          <t>Lucho Laura Nosu</t>
        </is>
      </c>
      <c r="C738" t="inlineStr">
        <is>
          <t>Bajaj OTF 59H</t>
        </is>
      </c>
      <c r="D738" t="inlineStr">
        <is>
          <t>OTF59H</t>
        </is>
      </c>
      <c r="H738" t="n">
        <v>240000</v>
      </c>
      <c r="I738" t="n">
        <v>240000</v>
      </c>
      <c r="J738" t="inlineStr">
        <is>
          <t>efectivo</t>
        </is>
      </c>
    </row>
    <row r="739">
      <c r="A739" s="3" t="n">
        <v>46009</v>
      </c>
      <c r="B739" t="inlineStr">
        <is>
          <t>Lucho Laura Nosu</t>
        </is>
      </c>
      <c r="C739" t="inlineStr">
        <is>
          <t>Bajaj OTF 59H</t>
        </is>
      </c>
      <c r="D739" t="inlineStr">
        <is>
          <t>OTF59H</t>
        </is>
      </c>
      <c r="H739" t="n">
        <v>240000</v>
      </c>
      <c r="I739" t="n">
        <v>240000</v>
      </c>
      <c r="J739" t="inlineStr">
        <is>
          <t>efectivo</t>
        </is>
      </c>
    </row>
    <row r="740">
      <c r="A740" s="3" t="n">
        <v>46016</v>
      </c>
      <c r="B740" t="inlineStr">
        <is>
          <t>Lucho Laura Nosu</t>
        </is>
      </c>
      <c r="C740" t="inlineStr">
        <is>
          <t>Bajaj OTF 59H</t>
        </is>
      </c>
      <c r="D740" t="inlineStr">
        <is>
          <t>OTF59H</t>
        </is>
      </c>
      <c r="H740" t="n">
        <v>240000</v>
      </c>
      <c r="I740" t="n">
        <v>240000</v>
      </c>
      <c r="J740" t="inlineStr">
        <is>
          <t>efectivo</t>
        </is>
      </c>
    </row>
    <row r="741">
      <c r="A741" s="3" t="n">
        <v>46030</v>
      </c>
      <c r="B741" t="inlineStr">
        <is>
          <t>Lucho Laura Nosu</t>
        </is>
      </c>
      <c r="C741" t="inlineStr">
        <is>
          <t>Bajaj OTF 59H</t>
        </is>
      </c>
      <c r="D741" t="inlineStr">
        <is>
          <t>OTF59H</t>
        </is>
      </c>
      <c r="H741" t="n">
        <v>240000</v>
      </c>
      <c r="I741" t="n">
        <v>240000</v>
      </c>
      <c r="J741" t="inlineStr">
        <is>
          <t>efectivo</t>
        </is>
      </c>
    </row>
    <row r="742">
      <c r="A742" s="3" t="n">
        <v>46039</v>
      </c>
      <c r="B742" t="inlineStr">
        <is>
          <t>Lucho Laura Nosu</t>
        </is>
      </c>
      <c r="C742" t="inlineStr">
        <is>
          <t>Bajaj OTF 59H</t>
        </is>
      </c>
      <c r="D742" t="inlineStr">
        <is>
          <t>OTF59H</t>
        </is>
      </c>
      <c r="H742" t="n">
        <v>240000</v>
      </c>
      <c r="I742" t="n">
        <v>240000</v>
      </c>
      <c r="J742" t="inlineStr">
        <is>
          <t>efectivo</t>
        </is>
      </c>
    </row>
    <row r="743">
      <c r="A743" s="3" t="n">
        <v>46047</v>
      </c>
      <c r="B743" t="inlineStr">
        <is>
          <t>Lucho Laura Nosu</t>
        </is>
      </c>
      <c r="C743" t="inlineStr">
        <is>
          <t>Bajaj OTF 59H</t>
        </is>
      </c>
      <c r="D743" t="inlineStr">
        <is>
          <t>OTF59H</t>
        </is>
      </c>
      <c r="H743" t="n">
        <v>240000</v>
      </c>
      <c r="I743" t="n">
        <v>240000</v>
      </c>
      <c r="J743" t="inlineStr">
        <is>
          <t>efectivo</t>
        </is>
      </c>
    </row>
    <row r="744">
      <c r="A744" s="3" t="n">
        <v>46057</v>
      </c>
      <c r="B744" t="inlineStr">
        <is>
          <t>Lucho Laura Nosu</t>
        </is>
      </c>
      <c r="C744" t="inlineStr">
        <is>
          <t>Bajaj OTF 59H</t>
        </is>
      </c>
      <c r="D744" t="inlineStr">
        <is>
          <t>OTF59H</t>
        </is>
      </c>
      <c r="H744" t="n">
        <v>240000</v>
      </c>
      <c r="I744" t="n">
        <v>240000</v>
      </c>
      <c r="J744" t="inlineStr">
        <is>
          <t>efectivo</t>
        </is>
      </c>
    </row>
    <row r="745">
      <c r="A745" s="3" t="n">
        <v>46065</v>
      </c>
      <c r="B745" t="inlineStr">
        <is>
          <t>Lucho Laura Nosu</t>
        </is>
      </c>
      <c r="C745" t="inlineStr">
        <is>
          <t>Bajaj OTF 59H</t>
        </is>
      </c>
      <c r="D745" t="inlineStr">
        <is>
          <t>OTF59H</t>
        </is>
      </c>
      <c r="H745" t="n">
        <v>240000</v>
      </c>
      <c r="I745" t="n">
        <v>240000</v>
      </c>
      <c r="J745" t="inlineStr">
        <is>
          <t>efectivo</t>
        </is>
      </c>
    </row>
    <row r="746">
      <c r="A746" s="3" t="n">
        <v>46073</v>
      </c>
      <c r="B746" t="inlineStr">
        <is>
          <t>Lucho Laura Nosu</t>
        </is>
      </c>
      <c r="C746" t="inlineStr">
        <is>
          <t>Bajaj OTF 59H</t>
        </is>
      </c>
      <c r="D746" t="inlineStr">
        <is>
          <t>OTF59H</t>
        </is>
      </c>
      <c r="H746" t="n">
        <v>240000</v>
      </c>
      <c r="I746" t="n">
        <v>240000</v>
      </c>
      <c r="J746" t="inlineStr">
        <is>
          <t>efectivo</t>
        </is>
      </c>
    </row>
    <row r="747">
      <c r="A747" s="3" t="n">
        <v>46081</v>
      </c>
      <c r="B747" t="inlineStr">
        <is>
          <t>Lucho Laura Nosu</t>
        </is>
      </c>
      <c r="C747" t="inlineStr">
        <is>
          <t>Bajaj OTF 59H</t>
        </is>
      </c>
      <c r="D747" t="inlineStr">
        <is>
          <t>OTF59H</t>
        </is>
      </c>
      <c r="H747" t="n">
        <v>240000</v>
      </c>
      <c r="I747" t="n">
        <v>240000</v>
      </c>
      <c r="J747" t="inlineStr">
        <is>
          <t>efectivo</t>
        </is>
      </c>
    </row>
    <row r="748">
      <c r="A748" s="3" t="n">
        <v>46089</v>
      </c>
      <c r="B748" t="inlineStr">
        <is>
          <t>Lucho Laura Nosu</t>
        </is>
      </c>
      <c r="C748" t="inlineStr">
        <is>
          <t>Bajaj OTF 59H</t>
        </is>
      </c>
      <c r="D748" t="inlineStr">
        <is>
          <t>OTF59H</t>
        </is>
      </c>
      <c r="H748" t="n">
        <v>240000</v>
      </c>
      <c r="I748" t="n">
        <v>240000</v>
      </c>
      <c r="J748" t="inlineStr">
        <is>
          <t>efectivo</t>
        </is>
      </c>
    </row>
    <row r="749">
      <c r="A749" s="3" t="n">
        <v>46098</v>
      </c>
      <c r="B749" t="inlineStr">
        <is>
          <t>Lucho Laura Nosu</t>
        </is>
      </c>
      <c r="C749" t="inlineStr">
        <is>
          <t>Bajaj OTF 59H</t>
        </is>
      </c>
      <c r="D749" t="inlineStr">
        <is>
          <t>OTF59H</t>
        </is>
      </c>
      <c r="H749" t="n">
        <v>240000</v>
      </c>
      <c r="I749" t="n">
        <v>240000</v>
      </c>
      <c r="J749" t="inlineStr">
        <is>
          <t>efectivo</t>
        </is>
      </c>
    </row>
    <row r="750">
      <c r="A750" s="3" t="n">
        <v>46107</v>
      </c>
      <c r="B750" t="inlineStr">
        <is>
          <t>Lucho Laura Nosu</t>
        </is>
      </c>
      <c r="C750" t="inlineStr">
        <is>
          <t>Bajaj OTF 59H</t>
        </is>
      </c>
      <c r="D750" t="inlineStr">
        <is>
          <t>OTF59H</t>
        </is>
      </c>
      <c r="H750" t="n">
        <v>240000</v>
      </c>
      <c r="I750" t="n">
        <v>240000</v>
      </c>
      <c r="J750" t="inlineStr">
        <is>
          <t>efectivo</t>
        </is>
      </c>
    </row>
    <row r="751">
      <c r="A751" s="3" t="n">
        <v>46116</v>
      </c>
      <c r="B751" t="inlineStr">
        <is>
          <t>Lucho Laura Nosu</t>
        </is>
      </c>
      <c r="C751" t="inlineStr">
        <is>
          <t>Bajaj OTF 59H</t>
        </is>
      </c>
      <c r="D751" t="inlineStr">
        <is>
          <t>OTF59H</t>
        </is>
      </c>
      <c r="H751" t="n">
        <v>240000</v>
      </c>
      <c r="I751" t="n">
        <v>240000</v>
      </c>
      <c r="J751" t="inlineStr">
        <is>
          <t>efectivo</t>
        </is>
      </c>
    </row>
    <row r="752">
      <c r="A752" s="3" t="n">
        <v>46124</v>
      </c>
      <c r="B752" t="inlineStr">
        <is>
          <t>Lucho Laura Nosu</t>
        </is>
      </c>
      <c r="C752" t="inlineStr">
        <is>
          <t>Bajaj OTF 59H</t>
        </is>
      </c>
      <c r="D752" t="inlineStr">
        <is>
          <t>OTF59H</t>
        </is>
      </c>
      <c r="H752" t="n">
        <v>240000</v>
      </c>
      <c r="I752" t="n">
        <v>240000</v>
      </c>
      <c r="J752" t="inlineStr">
        <is>
          <t>efectivo</t>
        </is>
      </c>
    </row>
    <row r="753">
      <c r="A753" s="3" t="n">
        <v>46132</v>
      </c>
      <c r="B753" t="inlineStr">
        <is>
          <t>Lucho Laura Nosu</t>
        </is>
      </c>
      <c r="C753" t="inlineStr">
        <is>
          <t>Bajaj OTF 59H</t>
        </is>
      </c>
      <c r="D753" t="inlineStr">
        <is>
          <t>OTF59H</t>
        </is>
      </c>
      <c r="H753" t="n">
        <v>240000</v>
      </c>
      <c r="I753" t="n">
        <v>240000</v>
      </c>
      <c r="J753" t="inlineStr">
        <is>
          <t>efectivo</t>
        </is>
      </c>
    </row>
    <row r="754">
      <c r="A754" s="3" t="n">
        <v>46140</v>
      </c>
      <c r="B754" t="inlineStr">
        <is>
          <t>Lucho Laura Nosu</t>
        </is>
      </c>
      <c r="C754" t="inlineStr">
        <is>
          <t>Bajaj OTF 59H</t>
        </is>
      </c>
      <c r="D754" t="inlineStr">
        <is>
          <t>OTF59H</t>
        </is>
      </c>
      <c r="H754" t="n">
        <v>240000</v>
      </c>
      <c r="I754" t="n">
        <v>240000</v>
      </c>
      <c r="J754" t="inlineStr">
        <is>
          <t>efectivo</t>
        </is>
      </c>
    </row>
    <row r="755">
      <c r="A755" s="3" t="n">
        <v>46148</v>
      </c>
      <c r="B755" t="inlineStr">
        <is>
          <t>Lucho Laura Nosu</t>
        </is>
      </c>
      <c r="C755" t="inlineStr">
        <is>
          <t>Bajaj OTF 59H</t>
        </is>
      </c>
      <c r="D755" t="inlineStr">
        <is>
          <t>OTF59H</t>
        </is>
      </c>
      <c r="H755" t="n">
        <v>240000</v>
      </c>
      <c r="I755" t="n">
        <v>240000</v>
      </c>
      <c r="J755" t="inlineStr">
        <is>
          <t>efectivo</t>
        </is>
      </c>
    </row>
    <row r="756">
      <c r="A756" s="3" t="n">
        <v>46157</v>
      </c>
      <c r="B756" t="inlineStr">
        <is>
          <t>Lucho Laura Nosu</t>
        </is>
      </c>
      <c r="C756" t="inlineStr">
        <is>
          <t>Bajaj OTF 59H</t>
        </is>
      </c>
      <c r="D756" t="inlineStr">
        <is>
          <t>OTF59H</t>
        </is>
      </c>
      <c r="H756" t="n">
        <v>240000</v>
      </c>
      <c r="I756" t="n">
        <v>240000</v>
      </c>
      <c r="J756" t="inlineStr">
        <is>
          <t>efectivo</t>
        </is>
      </c>
    </row>
    <row r="757">
      <c r="A757" s="3" t="n">
        <v>46165</v>
      </c>
      <c r="B757" t="inlineStr">
        <is>
          <t>Lucho Laura Nosu</t>
        </is>
      </c>
      <c r="C757" t="inlineStr">
        <is>
          <t>Bajaj OTF 59H</t>
        </is>
      </c>
      <c r="D757" t="inlineStr">
        <is>
          <t>OTF59H</t>
        </is>
      </c>
      <c r="H757" t="n">
        <v>240000</v>
      </c>
      <c r="I757" t="n">
        <v>240000</v>
      </c>
      <c r="J757" t="inlineStr">
        <is>
          <t>efectivo</t>
        </is>
      </c>
    </row>
    <row r="758">
      <c r="A758" s="3" t="n">
        <v>46173</v>
      </c>
      <c r="B758" t="inlineStr">
        <is>
          <t>Lucho Laura Nosu</t>
        </is>
      </c>
      <c r="C758" t="inlineStr">
        <is>
          <t>Bajaj OTF 59H</t>
        </is>
      </c>
      <c r="D758" t="inlineStr">
        <is>
          <t>OTF59H</t>
        </is>
      </c>
      <c r="H758" t="n">
        <v>240000</v>
      </c>
      <c r="I758" t="n">
        <v>240000</v>
      </c>
      <c r="J758" t="inlineStr">
        <is>
          <t>efectivo</t>
        </is>
      </c>
    </row>
    <row r="759">
      <c r="A759" s="3" t="n">
        <v>46182</v>
      </c>
      <c r="B759" t="inlineStr">
        <is>
          <t>Lucho Laura Nosu</t>
        </is>
      </c>
      <c r="C759" t="inlineStr">
        <is>
          <t>Bajaj OTF 59H</t>
        </is>
      </c>
      <c r="D759" t="inlineStr">
        <is>
          <t>OTF59H</t>
        </is>
      </c>
      <c r="H759" t="n">
        <v>240000</v>
      </c>
      <c r="I759" t="n">
        <v>240000</v>
      </c>
      <c r="J759" t="inlineStr">
        <is>
          <t>efectivo</t>
        </is>
      </c>
    </row>
    <row r="760">
      <c r="A760" s="3" t="n">
        <v>46191</v>
      </c>
      <c r="B760" t="inlineStr">
        <is>
          <t>Lucho Laura Nosu</t>
        </is>
      </c>
      <c r="C760" t="inlineStr">
        <is>
          <t>Bajaj OTF 59H</t>
        </is>
      </c>
      <c r="D760" t="inlineStr">
        <is>
          <t>OTF59H</t>
        </is>
      </c>
      <c r="H760" t="n">
        <v>240000</v>
      </c>
      <c r="I760" t="n">
        <v>240000</v>
      </c>
      <c r="J760" t="inlineStr">
        <is>
          <t>efectivo</t>
        </is>
      </c>
    </row>
    <row r="761">
      <c r="A761" s="3" t="n">
        <v>46200</v>
      </c>
      <c r="B761" t="inlineStr">
        <is>
          <t>Lucho Laura Nosu</t>
        </is>
      </c>
      <c r="C761" t="inlineStr">
        <is>
          <t>Bajaj OTF 59H</t>
        </is>
      </c>
      <c r="D761" t="inlineStr">
        <is>
          <t>OTF59H</t>
        </is>
      </c>
      <c r="H761" t="n">
        <v>240000</v>
      </c>
      <c r="I761" t="n">
        <v>240000</v>
      </c>
      <c r="J761" t="inlineStr">
        <is>
          <t>efectivo</t>
        </is>
      </c>
    </row>
    <row r="762">
      <c r="A762" s="3" t="n">
        <v>46208</v>
      </c>
      <c r="B762" t="inlineStr">
        <is>
          <t>Lucho Laura Nosu</t>
        </is>
      </c>
      <c r="C762" t="inlineStr">
        <is>
          <t>Bajaj OTF 59H</t>
        </is>
      </c>
      <c r="D762" t="inlineStr">
        <is>
          <t>OTF59H</t>
        </is>
      </c>
      <c r="H762" t="n">
        <v>240000</v>
      </c>
      <c r="I762" t="n">
        <v>240000</v>
      </c>
      <c r="J762" t="inlineStr">
        <is>
          <t>efectivo</t>
        </is>
      </c>
    </row>
    <row r="763">
      <c r="A763" s="3" t="n">
        <v>46216</v>
      </c>
      <c r="B763" t="inlineStr">
        <is>
          <t>Lucho Laura Nosu</t>
        </is>
      </c>
      <c r="C763" t="inlineStr">
        <is>
          <t>Bajaj OTF 59H</t>
        </is>
      </c>
      <c r="D763" t="inlineStr">
        <is>
          <t>OTF59H</t>
        </is>
      </c>
      <c r="H763" t="n">
        <v>240000</v>
      </c>
      <c r="I763" t="n">
        <v>240000</v>
      </c>
      <c r="J763" t="inlineStr">
        <is>
          <t>efectivo</t>
        </is>
      </c>
    </row>
    <row r="764">
      <c r="A764" s="3" t="n">
        <v>46224</v>
      </c>
      <c r="B764" t="inlineStr">
        <is>
          <t>Lucho Laura Nosu</t>
        </is>
      </c>
      <c r="C764" t="inlineStr">
        <is>
          <t>Bajaj OTF 59H</t>
        </is>
      </c>
      <c r="D764" t="inlineStr">
        <is>
          <t>OTF59H</t>
        </is>
      </c>
      <c r="H764" t="n">
        <v>240000</v>
      </c>
      <c r="I764" t="n">
        <v>240000</v>
      </c>
      <c r="J764" t="inlineStr">
        <is>
          <t>efectivo</t>
        </is>
      </c>
    </row>
    <row r="765">
      <c r="A765" s="3" t="n">
        <v>45832</v>
      </c>
      <c r="B765" t="inlineStr">
        <is>
          <t>Roberto</t>
        </is>
      </c>
      <c r="C765" t="inlineStr">
        <is>
          <t>Bajaj OTR 29H</t>
        </is>
      </c>
      <c r="D765" t="inlineStr">
        <is>
          <t>OTR29H</t>
        </is>
      </c>
      <c r="H765" t="n">
        <v>240000</v>
      </c>
      <c r="I765" t="n">
        <v>240000</v>
      </c>
      <c r="J765" t="inlineStr">
        <is>
          <t>efectivo</t>
        </is>
      </c>
    </row>
    <row r="766">
      <c r="A766" s="3" t="n">
        <v>45839</v>
      </c>
      <c r="B766" t="inlineStr">
        <is>
          <t>Roberto</t>
        </is>
      </c>
      <c r="C766" t="inlineStr">
        <is>
          <t>Bajaj OTR 29H</t>
        </is>
      </c>
      <c r="D766" t="inlineStr">
        <is>
          <t>OTR29H</t>
        </is>
      </c>
      <c r="H766" t="n">
        <v>240000</v>
      </c>
      <c r="I766" t="n">
        <v>240000</v>
      </c>
      <c r="J766" t="inlineStr">
        <is>
          <t>efectivo</t>
        </is>
      </c>
    </row>
    <row r="767">
      <c r="A767" s="3" t="n">
        <v>45866</v>
      </c>
      <c r="B767" t="inlineStr">
        <is>
          <t>Roberto</t>
        </is>
      </c>
      <c r="C767" t="inlineStr">
        <is>
          <t>Bajaj OTR 29H</t>
        </is>
      </c>
      <c r="D767" t="inlineStr">
        <is>
          <t>OTR29H</t>
        </is>
      </c>
      <c r="H767" t="n">
        <v>240000</v>
      </c>
      <c r="I767" t="n">
        <v>240000</v>
      </c>
      <c r="J767" t="inlineStr">
        <is>
          <t>efectivo</t>
        </is>
      </c>
    </row>
    <row r="768">
      <c r="A768" s="3" t="n">
        <v>45877</v>
      </c>
      <c r="B768" t="inlineStr">
        <is>
          <t>Roberto</t>
        </is>
      </c>
      <c r="C768" t="inlineStr">
        <is>
          <t>Bajaj OTR 29H</t>
        </is>
      </c>
      <c r="D768" t="inlineStr">
        <is>
          <t>OTR29H</t>
        </is>
      </c>
      <c r="H768" t="n">
        <v>240000</v>
      </c>
      <c r="I768" t="n">
        <v>240000</v>
      </c>
      <c r="J768" t="inlineStr">
        <is>
          <t>efectivo</t>
        </is>
      </c>
    </row>
    <row r="769">
      <c r="A769" s="3" t="n">
        <v>45893</v>
      </c>
      <c r="B769" t="inlineStr">
        <is>
          <t>Roberto</t>
        </is>
      </c>
      <c r="C769" t="inlineStr">
        <is>
          <t>Bajaj OTR 29H</t>
        </is>
      </c>
      <c r="D769" t="inlineStr">
        <is>
          <t>OTR29H</t>
        </is>
      </c>
      <c r="H769" t="n">
        <v>240000</v>
      </c>
      <c r="I769" t="n">
        <v>240000</v>
      </c>
      <c r="J769" t="inlineStr">
        <is>
          <t>efectivo</t>
        </is>
      </c>
    </row>
    <row r="770">
      <c r="A770" s="3" t="n">
        <v>45905</v>
      </c>
      <c r="B770" t="inlineStr">
        <is>
          <t>Roberto</t>
        </is>
      </c>
      <c r="C770" t="inlineStr">
        <is>
          <t>Bajaj OTR 29H</t>
        </is>
      </c>
      <c r="D770" t="inlineStr">
        <is>
          <t>OTR29H</t>
        </is>
      </c>
      <c r="H770" t="n">
        <v>240000</v>
      </c>
      <c r="I770" t="n">
        <v>240000</v>
      </c>
      <c r="J770" t="inlineStr">
        <is>
          <t>efectivo</t>
        </is>
      </c>
    </row>
    <row r="771">
      <c r="A771" s="3" t="n">
        <v>45912</v>
      </c>
      <c r="B771" t="inlineStr">
        <is>
          <t>Roberto</t>
        </is>
      </c>
      <c r="C771" t="inlineStr">
        <is>
          <t>Bajaj OTR 29H</t>
        </is>
      </c>
      <c r="D771" t="inlineStr">
        <is>
          <t>OTR29H</t>
        </is>
      </c>
      <c r="H771" t="n">
        <v>240000</v>
      </c>
      <c r="I771" t="n">
        <v>240000</v>
      </c>
      <c r="J771" t="inlineStr">
        <is>
          <t>efectivo</t>
        </is>
      </c>
    </row>
    <row r="772">
      <c r="A772" s="3" t="n">
        <v>45918</v>
      </c>
      <c r="B772" t="inlineStr">
        <is>
          <t>Roberto</t>
        </is>
      </c>
      <c r="C772" t="inlineStr">
        <is>
          <t>Bajaj OTR 29H</t>
        </is>
      </c>
      <c r="D772" t="inlineStr">
        <is>
          <t>OTR29H</t>
        </is>
      </c>
      <c r="H772" t="n">
        <v>240000</v>
      </c>
      <c r="I772" t="n">
        <v>240000</v>
      </c>
      <c r="J772" t="inlineStr">
        <is>
          <t>efectivo</t>
        </is>
      </c>
    </row>
    <row r="773">
      <c r="A773" s="3" t="n">
        <v>45926</v>
      </c>
      <c r="B773" t="inlineStr">
        <is>
          <t>Roberto</t>
        </is>
      </c>
      <c r="C773" t="inlineStr">
        <is>
          <t>Bajaj OTR 29H</t>
        </is>
      </c>
      <c r="D773" t="inlineStr">
        <is>
          <t>OTR29H</t>
        </is>
      </c>
      <c r="H773" t="n">
        <v>240000</v>
      </c>
      <c r="I773" t="n">
        <v>240000</v>
      </c>
      <c r="J773" t="inlineStr">
        <is>
          <t>efectivo</t>
        </is>
      </c>
    </row>
    <row r="774">
      <c r="A774" s="3" t="n">
        <v>45936</v>
      </c>
      <c r="B774" t="inlineStr">
        <is>
          <t>Roberto</t>
        </is>
      </c>
      <c r="C774" t="inlineStr">
        <is>
          <t>Bajaj OTR 29H</t>
        </is>
      </c>
      <c r="D774" t="inlineStr">
        <is>
          <t>OTR29H</t>
        </is>
      </c>
      <c r="H774" t="n">
        <v>240000</v>
      </c>
      <c r="I774" t="n">
        <v>240000</v>
      </c>
      <c r="J774" t="inlineStr">
        <is>
          <t>efectivo</t>
        </is>
      </c>
    </row>
    <row r="775">
      <c r="A775" s="3" t="n">
        <v>45944</v>
      </c>
      <c r="B775" t="inlineStr">
        <is>
          <t>Roberto</t>
        </is>
      </c>
      <c r="C775" t="inlineStr">
        <is>
          <t>Bajaj OTR 29H</t>
        </is>
      </c>
      <c r="D775" t="inlineStr">
        <is>
          <t>OTR29H</t>
        </is>
      </c>
      <c r="H775" t="n">
        <v>240000</v>
      </c>
      <c r="I775" t="n">
        <v>240000</v>
      </c>
      <c r="J775" t="inlineStr">
        <is>
          <t>efectivo</t>
        </is>
      </c>
    </row>
    <row r="776">
      <c r="A776" s="3" t="n">
        <v>45948</v>
      </c>
      <c r="B776" t="inlineStr">
        <is>
          <t>Roberto</t>
        </is>
      </c>
      <c r="C776" t="inlineStr">
        <is>
          <t>Bajaj OTR 29H</t>
        </is>
      </c>
      <c r="D776" t="inlineStr">
        <is>
          <t>OTR29H</t>
        </is>
      </c>
      <c r="H776" t="n">
        <v>240000</v>
      </c>
      <c r="I776" t="n">
        <v>240000</v>
      </c>
      <c r="J776" t="inlineStr">
        <is>
          <t>efectivo</t>
        </is>
      </c>
    </row>
    <row r="777">
      <c r="A777" s="3" t="n">
        <v>45957</v>
      </c>
      <c r="B777" t="inlineStr">
        <is>
          <t>Roberto</t>
        </is>
      </c>
      <c r="C777" t="inlineStr">
        <is>
          <t>Bajaj OTR 29H</t>
        </is>
      </c>
      <c r="D777" t="inlineStr">
        <is>
          <t>OTR29H</t>
        </is>
      </c>
      <c r="H777" t="n">
        <v>240000</v>
      </c>
      <c r="I777" t="n">
        <v>240000</v>
      </c>
      <c r="J777" t="inlineStr">
        <is>
          <t>efectivo</t>
        </is>
      </c>
    </row>
    <row r="778">
      <c r="A778" s="3" t="n">
        <v>45963</v>
      </c>
      <c r="B778" t="inlineStr">
        <is>
          <t>Roberto</t>
        </is>
      </c>
      <c r="C778" t="inlineStr">
        <is>
          <t>Bajaj OTR 29H</t>
        </is>
      </c>
      <c r="D778" t="inlineStr">
        <is>
          <t>OTR29H</t>
        </is>
      </c>
      <c r="H778" t="n">
        <v>240000</v>
      </c>
      <c r="I778" t="n">
        <v>240000</v>
      </c>
      <c r="J778" t="inlineStr">
        <is>
          <t>efectivo</t>
        </is>
      </c>
    </row>
    <row r="779">
      <c r="A779" s="3" t="n">
        <v>45974</v>
      </c>
      <c r="B779" t="inlineStr">
        <is>
          <t>Roberto</t>
        </is>
      </c>
      <c r="C779" t="inlineStr">
        <is>
          <t>Bajaj OTR 29H</t>
        </is>
      </c>
      <c r="D779" t="inlineStr">
        <is>
          <t>OTR29H</t>
        </is>
      </c>
      <c r="H779" t="n">
        <v>240000</v>
      </c>
      <c r="I779" t="n">
        <v>240000</v>
      </c>
      <c r="J779" t="inlineStr">
        <is>
          <t>efectivo</t>
        </is>
      </c>
    </row>
    <row r="780">
      <c r="A780" s="3" t="n">
        <v>45985</v>
      </c>
      <c r="B780" t="inlineStr">
        <is>
          <t>Roberto</t>
        </is>
      </c>
      <c r="C780" t="inlineStr">
        <is>
          <t>Bajaj OTR 29H</t>
        </is>
      </c>
      <c r="D780" t="inlineStr">
        <is>
          <t>OTR29H</t>
        </is>
      </c>
      <c r="H780" t="n">
        <v>240000</v>
      </c>
      <c r="I780" t="n">
        <v>240000</v>
      </c>
      <c r="J780" t="inlineStr">
        <is>
          <t>efectivo</t>
        </is>
      </c>
    </row>
    <row r="781">
      <c r="A781" s="3" t="n">
        <v>45990</v>
      </c>
      <c r="B781" t="inlineStr">
        <is>
          <t>Roberto</t>
        </is>
      </c>
      <c r="C781" t="inlineStr">
        <is>
          <t>Bajaj OTR 29H</t>
        </is>
      </c>
      <c r="D781" t="inlineStr">
        <is>
          <t>OTR29H</t>
        </is>
      </c>
      <c r="H781" t="n">
        <v>240000</v>
      </c>
      <c r="I781" t="n">
        <v>240000</v>
      </c>
      <c r="J781" t="inlineStr">
        <is>
          <t>efectivo</t>
        </is>
      </c>
    </row>
    <row r="782">
      <c r="A782" s="3" t="n">
        <v>46001</v>
      </c>
      <c r="B782" t="inlineStr">
        <is>
          <t>Roberto</t>
        </is>
      </c>
      <c r="C782" t="inlineStr">
        <is>
          <t>Bajaj OTR 29H</t>
        </is>
      </c>
      <c r="D782" t="inlineStr">
        <is>
          <t>OTR29H</t>
        </is>
      </c>
      <c r="H782" t="n">
        <v>240000</v>
      </c>
      <c r="I782" t="n">
        <v>240000</v>
      </c>
      <c r="J782" t="inlineStr">
        <is>
          <t>efectivo</t>
        </is>
      </c>
    </row>
    <row r="783">
      <c r="A783" s="3" t="n">
        <v>46007</v>
      </c>
      <c r="B783" t="inlineStr">
        <is>
          <t>Roberto</t>
        </is>
      </c>
      <c r="C783" t="inlineStr">
        <is>
          <t>Bajaj OTR 29H</t>
        </is>
      </c>
      <c r="D783" t="inlineStr">
        <is>
          <t>OTR29H</t>
        </is>
      </c>
      <c r="H783" t="n">
        <v>240000</v>
      </c>
      <c r="I783" t="n">
        <v>240000</v>
      </c>
      <c r="J783" t="inlineStr">
        <is>
          <t>efectivo</t>
        </is>
      </c>
    </row>
    <row r="784">
      <c r="A784" s="3" t="n">
        <v>46014</v>
      </c>
      <c r="B784" t="inlineStr">
        <is>
          <t>Roberto</t>
        </is>
      </c>
      <c r="C784" t="inlineStr">
        <is>
          <t>Bajaj OTR 29H</t>
        </is>
      </c>
      <c r="D784" t="inlineStr">
        <is>
          <t>OTR29H</t>
        </is>
      </c>
      <c r="H784" t="n">
        <v>240000</v>
      </c>
      <c r="I784" t="n">
        <v>240000</v>
      </c>
      <c r="J784" t="inlineStr">
        <is>
          <t>efectivo</t>
        </is>
      </c>
    </row>
    <row r="785">
      <c r="A785" s="3" t="n">
        <v>46020</v>
      </c>
      <c r="B785" t="inlineStr">
        <is>
          <t>Roberto</t>
        </is>
      </c>
      <c r="C785" t="inlineStr">
        <is>
          <t>Bajaj OTR 29H</t>
        </is>
      </c>
      <c r="D785" t="inlineStr">
        <is>
          <t>OTR29H</t>
        </is>
      </c>
      <c r="H785" t="n">
        <v>240000</v>
      </c>
      <c r="I785" t="n">
        <v>240000</v>
      </c>
      <c r="J785" t="inlineStr">
        <is>
          <t>efectivo</t>
        </is>
      </c>
    </row>
    <row r="786">
      <c r="A786" s="3" t="n">
        <v>46032</v>
      </c>
      <c r="B786" t="inlineStr">
        <is>
          <t>Roberto</t>
        </is>
      </c>
      <c r="C786" t="inlineStr">
        <is>
          <t>Bajaj OTR 29H</t>
        </is>
      </c>
      <c r="D786" t="inlineStr">
        <is>
          <t>OTR29H</t>
        </is>
      </c>
      <c r="H786" t="n">
        <v>240000</v>
      </c>
      <c r="I786" t="n">
        <v>240000</v>
      </c>
      <c r="J786" t="inlineStr">
        <is>
          <t>efectivo</t>
        </is>
      </c>
    </row>
    <row r="787">
      <c r="A787" s="3" t="n">
        <v>46045</v>
      </c>
      <c r="B787" t="inlineStr">
        <is>
          <t>Roberto</t>
        </is>
      </c>
      <c r="C787" t="inlineStr">
        <is>
          <t>Bajaj OTR 29H</t>
        </is>
      </c>
      <c r="D787" t="inlineStr">
        <is>
          <t>OTR29H</t>
        </is>
      </c>
      <c r="H787" t="n">
        <v>240000</v>
      </c>
      <c r="I787" t="n">
        <v>240000</v>
      </c>
      <c r="J787" t="inlineStr">
        <is>
          <t>efectivo</t>
        </is>
      </c>
    </row>
    <row r="788">
      <c r="A788" s="3" t="n">
        <v>46070</v>
      </c>
      <c r="B788" t="inlineStr">
        <is>
          <t>Roberto</t>
        </is>
      </c>
      <c r="C788" t="inlineStr">
        <is>
          <t>Bajaj OTR 29H</t>
        </is>
      </c>
      <c r="D788" t="inlineStr">
        <is>
          <t>OTR29H</t>
        </is>
      </c>
      <c r="H788" t="n">
        <v>240000</v>
      </c>
      <c r="I788" t="n">
        <v>240000</v>
      </c>
      <c r="J788" t="inlineStr">
        <is>
          <t>efectivo</t>
        </is>
      </c>
    </row>
    <row r="789">
      <c r="A789" s="3" t="n">
        <v>46077</v>
      </c>
      <c r="B789" t="inlineStr">
        <is>
          <t>Roberto</t>
        </is>
      </c>
      <c r="C789" t="inlineStr">
        <is>
          <t>Bajaj OTR 29H</t>
        </is>
      </c>
      <c r="D789" t="inlineStr">
        <is>
          <t>OTR29H</t>
        </is>
      </c>
      <c r="H789" t="n">
        <v>240000</v>
      </c>
      <c r="I789" t="n">
        <v>240000</v>
      </c>
      <c r="J789" t="inlineStr">
        <is>
          <t>efectivo</t>
        </is>
      </c>
    </row>
    <row r="790">
      <c r="A790" s="3" t="n">
        <v>46084</v>
      </c>
      <c r="B790" t="inlineStr">
        <is>
          <t>Roberto</t>
        </is>
      </c>
      <c r="C790" t="inlineStr">
        <is>
          <t>Bajaj OTR 29H</t>
        </is>
      </c>
      <c r="D790" t="inlineStr">
        <is>
          <t>OTR29H</t>
        </is>
      </c>
      <c r="H790" t="n">
        <v>240000</v>
      </c>
      <c r="I790" t="n">
        <v>240000</v>
      </c>
      <c r="J790" t="inlineStr">
        <is>
          <t>efectivo</t>
        </is>
      </c>
    </row>
    <row r="791">
      <c r="A791" s="3" t="n">
        <v>46091</v>
      </c>
      <c r="B791" t="inlineStr">
        <is>
          <t>Roberto</t>
        </is>
      </c>
      <c r="C791" t="inlineStr">
        <is>
          <t>Bajaj OTR 29H</t>
        </is>
      </c>
      <c r="D791" t="inlineStr">
        <is>
          <t>OTR29H</t>
        </is>
      </c>
      <c r="H791" t="n">
        <v>240000</v>
      </c>
      <c r="I791" t="n">
        <v>240000</v>
      </c>
      <c r="J791" t="inlineStr">
        <is>
          <t>efectivo</t>
        </is>
      </c>
    </row>
    <row r="792">
      <c r="A792" s="3" t="n">
        <v>46098</v>
      </c>
      <c r="B792" t="inlineStr">
        <is>
          <t>Roberto</t>
        </is>
      </c>
      <c r="C792" t="inlineStr">
        <is>
          <t>Bajaj OTR 29H</t>
        </is>
      </c>
      <c r="D792" t="inlineStr">
        <is>
          <t>OTR29H</t>
        </is>
      </c>
      <c r="H792" t="n">
        <v>240000</v>
      </c>
      <c r="I792" t="n">
        <v>240000</v>
      </c>
      <c r="J792" t="inlineStr">
        <is>
          <t>efectivo</t>
        </is>
      </c>
    </row>
    <row r="793">
      <c r="A793" s="3" t="n">
        <v>46105</v>
      </c>
      <c r="B793" t="inlineStr">
        <is>
          <t>Roberto</t>
        </is>
      </c>
      <c r="C793" t="inlineStr">
        <is>
          <t>Bajaj OTR 29H</t>
        </is>
      </c>
      <c r="D793" t="inlineStr">
        <is>
          <t>OTR29H</t>
        </is>
      </c>
      <c r="H793" t="n">
        <v>240000</v>
      </c>
      <c r="I793" t="n">
        <v>240000</v>
      </c>
      <c r="J793" t="inlineStr">
        <is>
          <t>efectivo</t>
        </is>
      </c>
    </row>
    <row r="794">
      <c r="A794" s="3" t="n">
        <v>46113</v>
      </c>
      <c r="B794" t="inlineStr">
        <is>
          <t>Roberto</t>
        </is>
      </c>
      <c r="C794" t="inlineStr">
        <is>
          <t>Bajaj OTR 29H</t>
        </is>
      </c>
      <c r="D794" t="inlineStr">
        <is>
          <t>OTR29H</t>
        </is>
      </c>
      <c r="H794" t="n">
        <v>240000</v>
      </c>
      <c r="I794" t="n">
        <v>240000</v>
      </c>
      <c r="J794" t="inlineStr">
        <is>
          <t>efectivo</t>
        </is>
      </c>
    </row>
    <row r="795">
      <c r="A795" s="3" t="n">
        <v>46120</v>
      </c>
      <c r="B795" t="inlineStr">
        <is>
          <t>Roberto</t>
        </is>
      </c>
      <c r="C795" t="inlineStr">
        <is>
          <t>Bajaj OTR 29H</t>
        </is>
      </c>
      <c r="D795" t="inlineStr">
        <is>
          <t>OTR29H</t>
        </is>
      </c>
      <c r="H795" t="n">
        <v>240000</v>
      </c>
      <c r="I795" t="n">
        <v>240000</v>
      </c>
      <c r="J795" t="inlineStr">
        <is>
          <t>efectivo</t>
        </is>
      </c>
    </row>
    <row r="796">
      <c r="A796" s="3" t="n">
        <v>46128</v>
      </c>
      <c r="B796" t="inlineStr">
        <is>
          <t>Roberto</t>
        </is>
      </c>
      <c r="C796" t="inlineStr">
        <is>
          <t>Bajaj OTR 29H</t>
        </is>
      </c>
      <c r="D796" t="inlineStr">
        <is>
          <t>OTR29H</t>
        </is>
      </c>
      <c r="H796" t="n">
        <v>240000</v>
      </c>
      <c r="I796" t="n">
        <v>240000</v>
      </c>
      <c r="J796" t="inlineStr">
        <is>
          <t>efectivo</t>
        </is>
      </c>
    </row>
    <row r="797">
      <c r="A797" s="3" t="n">
        <v>46137</v>
      </c>
      <c r="B797" t="inlineStr">
        <is>
          <t>Roberto</t>
        </is>
      </c>
      <c r="C797" t="inlineStr">
        <is>
          <t>Bajaj OTR 29H</t>
        </is>
      </c>
      <c r="D797" t="inlineStr">
        <is>
          <t>OTR29H</t>
        </is>
      </c>
      <c r="H797" t="n">
        <v>240000</v>
      </c>
      <c r="I797" t="n">
        <v>240000</v>
      </c>
      <c r="J797" t="inlineStr">
        <is>
          <t>efectivo</t>
        </is>
      </c>
    </row>
    <row r="798">
      <c r="A798" s="3" t="n">
        <v>46145</v>
      </c>
      <c r="B798" t="inlineStr">
        <is>
          <t>Roberto</t>
        </is>
      </c>
      <c r="C798" t="inlineStr">
        <is>
          <t>Bajaj OTR 29H</t>
        </is>
      </c>
      <c r="D798" t="inlineStr">
        <is>
          <t>OTR29H</t>
        </is>
      </c>
      <c r="H798" t="n">
        <v>240000</v>
      </c>
      <c r="I798" t="n">
        <v>240000</v>
      </c>
      <c r="J798" t="inlineStr">
        <is>
          <t>efectivo</t>
        </is>
      </c>
    </row>
    <row r="799">
      <c r="A799" s="3" t="n">
        <v>46154</v>
      </c>
      <c r="B799" t="inlineStr">
        <is>
          <t>Roberto</t>
        </is>
      </c>
      <c r="C799" t="inlineStr">
        <is>
          <t>Bajaj OTR 29H</t>
        </is>
      </c>
      <c r="D799" t="inlineStr">
        <is>
          <t>OTR29H</t>
        </is>
      </c>
      <c r="H799" t="n">
        <v>240000</v>
      </c>
      <c r="I799" t="n">
        <v>240000</v>
      </c>
      <c r="J799" t="inlineStr">
        <is>
          <t>efectivo</t>
        </is>
      </c>
    </row>
    <row r="800">
      <c r="A800" s="3" t="n">
        <v>46160</v>
      </c>
      <c r="B800" t="inlineStr">
        <is>
          <t>Roberto</t>
        </is>
      </c>
      <c r="C800" t="inlineStr">
        <is>
          <t>Bajaj OTR 29H</t>
        </is>
      </c>
      <c r="D800" t="inlineStr">
        <is>
          <t>OTR29H</t>
        </is>
      </c>
      <c r="H800" t="n">
        <v>240000</v>
      </c>
      <c r="I800" t="n">
        <v>240000</v>
      </c>
      <c r="J800" t="inlineStr">
        <is>
          <t>efectivo</t>
        </is>
      </c>
    </row>
    <row r="801">
      <c r="A801" s="3" t="n">
        <v>46173</v>
      </c>
      <c r="B801" t="inlineStr">
        <is>
          <t>Roberto</t>
        </is>
      </c>
      <c r="C801" t="inlineStr">
        <is>
          <t>Bajaj OTR 29H</t>
        </is>
      </c>
      <c r="D801" t="inlineStr">
        <is>
          <t>OTR29H</t>
        </is>
      </c>
      <c r="H801" t="n">
        <v>240000</v>
      </c>
      <c r="I801" t="n">
        <v>240000</v>
      </c>
      <c r="J801" t="inlineStr">
        <is>
          <t>efectivo</t>
        </is>
      </c>
    </row>
    <row r="802">
      <c r="A802" s="3" t="n">
        <v>46183</v>
      </c>
      <c r="B802" t="inlineStr">
        <is>
          <t>Roberto</t>
        </is>
      </c>
      <c r="C802" t="inlineStr">
        <is>
          <t>Bajaj OTR 29H</t>
        </is>
      </c>
      <c r="D802" t="inlineStr">
        <is>
          <t>OTR29H</t>
        </is>
      </c>
      <c r="H802" t="n">
        <v>240000</v>
      </c>
      <c r="I802" t="n">
        <v>240000</v>
      </c>
      <c r="J802" t="inlineStr">
        <is>
          <t>efectivo</t>
        </is>
      </c>
    </row>
    <row r="803">
      <c r="A803" s="3" t="n">
        <v>46188</v>
      </c>
      <c r="B803" t="inlineStr">
        <is>
          <t>Roberto</t>
        </is>
      </c>
      <c r="C803" t="inlineStr">
        <is>
          <t>Bajaj OTR 29H</t>
        </is>
      </c>
      <c r="D803" t="inlineStr">
        <is>
          <t>OTR29H</t>
        </is>
      </c>
      <c r="H803" t="n">
        <v>240000</v>
      </c>
      <c r="I803" t="n">
        <v>240000</v>
      </c>
      <c r="J803" t="inlineStr">
        <is>
          <t>efectivo</t>
        </is>
      </c>
    </row>
    <row r="804">
      <c r="A804" s="3" t="n">
        <v>46196</v>
      </c>
      <c r="B804" t="inlineStr">
        <is>
          <t>Roberto</t>
        </is>
      </c>
      <c r="C804" t="inlineStr">
        <is>
          <t>Bajaj OTR 29H</t>
        </is>
      </c>
      <c r="D804" t="inlineStr">
        <is>
          <t>OTR29H</t>
        </is>
      </c>
      <c r="H804" t="n">
        <v>240000</v>
      </c>
      <c r="I804" t="n">
        <v>240000</v>
      </c>
      <c r="J804" t="inlineStr">
        <is>
          <t>efectivo</t>
        </is>
      </c>
    </row>
    <row r="805">
      <c r="A805" s="3" t="n">
        <v>46201</v>
      </c>
      <c r="B805" t="inlineStr">
        <is>
          <t>Roberto</t>
        </is>
      </c>
      <c r="C805" t="inlineStr">
        <is>
          <t>Bajaj OTR 29H</t>
        </is>
      </c>
      <c r="D805" t="inlineStr">
        <is>
          <t>OTR29H</t>
        </is>
      </c>
      <c r="H805" t="n">
        <v>240000</v>
      </c>
      <c r="I805" t="n">
        <v>240000</v>
      </c>
      <c r="J805" t="inlineStr">
        <is>
          <t>efectivo</t>
        </is>
      </c>
    </row>
    <row r="806">
      <c r="A806" s="3" t="n">
        <v>46206</v>
      </c>
      <c r="B806" t="inlineStr">
        <is>
          <t>Roberto</t>
        </is>
      </c>
      <c r="C806" t="inlineStr">
        <is>
          <t>Bajaj OTR 29H</t>
        </is>
      </c>
      <c r="D806" t="inlineStr">
        <is>
          <t>OTR29H</t>
        </is>
      </c>
      <c r="H806" t="n">
        <v>240000</v>
      </c>
      <c r="I806" t="n">
        <v>240000</v>
      </c>
      <c r="J806" t="inlineStr">
        <is>
          <t>efectivo</t>
        </is>
      </c>
    </row>
    <row r="807">
      <c r="A807" s="3" t="n">
        <v>46219</v>
      </c>
      <c r="B807" t="inlineStr">
        <is>
          <t>Roberto</t>
        </is>
      </c>
      <c r="C807" t="inlineStr">
        <is>
          <t>Bajaj OTR 29H</t>
        </is>
      </c>
      <c r="D807" t="inlineStr">
        <is>
          <t>OTR29H</t>
        </is>
      </c>
      <c r="H807" t="n">
        <v>240000</v>
      </c>
      <c r="I807" t="n">
        <v>240000</v>
      </c>
      <c r="J807" t="inlineStr">
        <is>
          <t>efectivo</t>
        </is>
      </c>
    </row>
    <row r="808">
      <c r="A808" s="3" t="n">
        <v>45855</v>
      </c>
      <c r="B808" t="inlineStr">
        <is>
          <t>Braillon</t>
        </is>
      </c>
      <c r="C808" t="inlineStr">
        <is>
          <t>Bajaj OUA 19H</t>
        </is>
      </c>
      <c r="D808" t="inlineStr">
        <is>
          <t>OUA19H</t>
        </is>
      </c>
      <c r="H808" t="n">
        <v>240000</v>
      </c>
      <c r="I808" t="n">
        <v>240000</v>
      </c>
      <c r="J808" t="inlineStr">
        <is>
          <t>efectivo</t>
        </is>
      </c>
    </row>
    <row r="809">
      <c r="A809" s="3" t="n">
        <v>45862</v>
      </c>
      <c r="B809" t="inlineStr">
        <is>
          <t>Braillon</t>
        </is>
      </c>
      <c r="C809" t="inlineStr">
        <is>
          <t>Bajaj OUA 19H</t>
        </is>
      </c>
      <c r="D809" t="inlineStr">
        <is>
          <t>OUA19H</t>
        </is>
      </c>
      <c r="H809" t="n">
        <v>240000</v>
      </c>
      <c r="I809" t="n">
        <v>240000</v>
      </c>
      <c r="J809" t="inlineStr">
        <is>
          <t>efectivo</t>
        </is>
      </c>
    </row>
    <row r="810">
      <c r="A810" s="3" t="n">
        <v>45869</v>
      </c>
      <c r="B810" t="inlineStr">
        <is>
          <t>Braillon</t>
        </is>
      </c>
      <c r="C810" t="inlineStr">
        <is>
          <t>Bajaj OUA 19H</t>
        </is>
      </c>
      <c r="D810" t="inlineStr">
        <is>
          <t>OUA19H</t>
        </is>
      </c>
      <c r="H810" t="n">
        <v>240000</v>
      </c>
      <c r="I810" t="n">
        <v>240000</v>
      </c>
      <c r="J810" t="inlineStr">
        <is>
          <t>efectivo</t>
        </is>
      </c>
    </row>
    <row r="811">
      <c r="A811" s="3" t="n">
        <v>45885</v>
      </c>
      <c r="B811" t="inlineStr">
        <is>
          <t>Braillon</t>
        </is>
      </c>
      <c r="C811" t="inlineStr">
        <is>
          <t>Bajaj OUA 19H</t>
        </is>
      </c>
      <c r="D811" t="inlineStr">
        <is>
          <t>OUA19H</t>
        </is>
      </c>
      <c r="H811" t="n">
        <v>240000</v>
      </c>
      <c r="I811" t="n">
        <v>240000</v>
      </c>
      <c r="J811" t="inlineStr">
        <is>
          <t>efectivo</t>
        </is>
      </c>
    </row>
    <row r="812">
      <c r="A812" s="3" t="n">
        <v>45904</v>
      </c>
      <c r="B812" t="inlineStr">
        <is>
          <t>Braillon</t>
        </is>
      </c>
      <c r="C812" t="inlineStr">
        <is>
          <t>Bajaj OUA 19H</t>
        </is>
      </c>
      <c r="D812" t="inlineStr">
        <is>
          <t>OUA19H</t>
        </is>
      </c>
      <c r="H812" t="n">
        <v>240000</v>
      </c>
      <c r="I812" t="n">
        <v>240000</v>
      </c>
      <c r="J812" t="inlineStr">
        <is>
          <t>efectivo</t>
        </is>
      </c>
    </row>
    <row r="813">
      <c r="A813" s="3" t="n">
        <v>45912</v>
      </c>
      <c r="B813" t="inlineStr">
        <is>
          <t>Braillon</t>
        </is>
      </c>
      <c r="C813" t="inlineStr">
        <is>
          <t>Bajaj OUA 19H</t>
        </is>
      </c>
      <c r="D813" t="inlineStr">
        <is>
          <t>OUA19H</t>
        </is>
      </c>
      <c r="H813" t="n">
        <v>240000</v>
      </c>
      <c r="I813" t="n">
        <v>240000</v>
      </c>
      <c r="J813" t="inlineStr">
        <is>
          <t>efectivo</t>
        </is>
      </c>
    </row>
    <row r="814">
      <c r="A814" s="3" t="n">
        <v>45918</v>
      </c>
      <c r="B814" t="inlineStr">
        <is>
          <t>Braillon</t>
        </is>
      </c>
      <c r="C814" t="inlineStr">
        <is>
          <t>Bajaj OUA 19H</t>
        </is>
      </c>
      <c r="D814" t="inlineStr">
        <is>
          <t>OUA19H</t>
        </is>
      </c>
      <c r="H814" t="n">
        <v>240000</v>
      </c>
      <c r="I814" t="n">
        <v>240000</v>
      </c>
      <c r="J814" t="inlineStr">
        <is>
          <t>efectivo</t>
        </is>
      </c>
    </row>
    <row r="815">
      <c r="A815" s="3" t="n">
        <v>45926</v>
      </c>
      <c r="B815" t="inlineStr">
        <is>
          <t>Braillon</t>
        </is>
      </c>
      <c r="C815" t="inlineStr">
        <is>
          <t>Bajaj OUA 19H</t>
        </is>
      </c>
      <c r="D815" t="inlineStr">
        <is>
          <t>OUA19H</t>
        </is>
      </c>
      <c r="H815" t="n">
        <v>240000</v>
      </c>
      <c r="I815" t="n">
        <v>240000</v>
      </c>
      <c r="J815" t="inlineStr">
        <is>
          <t>efectivo</t>
        </is>
      </c>
    </row>
    <row r="816">
      <c r="A816" s="3" t="n">
        <v>45938</v>
      </c>
      <c r="B816" t="inlineStr">
        <is>
          <t>Braillon</t>
        </is>
      </c>
      <c r="C816" t="inlineStr">
        <is>
          <t>Bajaj OUA 19H</t>
        </is>
      </c>
      <c r="D816" t="inlineStr">
        <is>
          <t>OUA19H</t>
        </is>
      </c>
      <c r="H816" t="n">
        <v>240000</v>
      </c>
      <c r="I816" t="n">
        <v>240000</v>
      </c>
      <c r="J816" t="inlineStr">
        <is>
          <t>efectivo</t>
        </is>
      </c>
    </row>
    <row r="817">
      <c r="A817" s="3" t="n">
        <v>45942</v>
      </c>
      <c r="B817" t="inlineStr">
        <is>
          <t>Braillon</t>
        </is>
      </c>
      <c r="C817" t="inlineStr">
        <is>
          <t>Bajaj OUA 19H</t>
        </is>
      </c>
      <c r="D817" t="inlineStr">
        <is>
          <t>OUA19H</t>
        </is>
      </c>
      <c r="H817" t="n">
        <v>240000</v>
      </c>
      <c r="I817" t="n">
        <v>240000</v>
      </c>
      <c r="J817" t="inlineStr">
        <is>
          <t>efectivo</t>
        </is>
      </c>
    </row>
    <row r="818">
      <c r="A818" s="3" t="n">
        <v>45949</v>
      </c>
      <c r="B818" t="inlineStr">
        <is>
          <t>Braillon</t>
        </is>
      </c>
      <c r="C818" t="inlineStr">
        <is>
          <t>Bajaj OUA 19H</t>
        </is>
      </c>
      <c r="D818" t="inlineStr">
        <is>
          <t>OUA19H</t>
        </is>
      </c>
      <c r="H818" t="n">
        <v>240000</v>
      </c>
      <c r="I818" t="n">
        <v>240000</v>
      </c>
      <c r="J818" t="inlineStr">
        <is>
          <t>efectivo</t>
        </is>
      </c>
    </row>
    <row r="819">
      <c r="A819" s="3" t="n">
        <v>45957</v>
      </c>
      <c r="B819" t="inlineStr">
        <is>
          <t>Braillon</t>
        </is>
      </c>
      <c r="C819" t="inlineStr">
        <is>
          <t>Bajaj OUA 19H</t>
        </is>
      </c>
      <c r="D819" t="inlineStr">
        <is>
          <t>OUA19H</t>
        </is>
      </c>
      <c r="H819" t="n">
        <v>240000</v>
      </c>
      <c r="I819" t="n">
        <v>240000</v>
      </c>
      <c r="J819" t="inlineStr">
        <is>
          <t>efectivo</t>
        </is>
      </c>
    </row>
    <row r="820">
      <c r="A820" s="3" t="n">
        <v>45965</v>
      </c>
      <c r="B820" t="inlineStr">
        <is>
          <t>Braillon</t>
        </is>
      </c>
      <c r="C820" t="inlineStr">
        <is>
          <t>Bajaj OUA 19H</t>
        </is>
      </c>
      <c r="D820" t="inlineStr">
        <is>
          <t>OUA19H</t>
        </is>
      </c>
      <c r="H820" t="n">
        <v>240000</v>
      </c>
      <c r="I820" t="n">
        <v>240000</v>
      </c>
      <c r="J820" t="inlineStr">
        <is>
          <t>efectivo</t>
        </is>
      </c>
    </row>
    <row r="821">
      <c r="A821" s="3" t="n">
        <v>45973</v>
      </c>
      <c r="B821" t="inlineStr">
        <is>
          <t>Braillon</t>
        </is>
      </c>
      <c r="C821" t="inlineStr">
        <is>
          <t>Bajaj OUA 19H</t>
        </is>
      </c>
      <c r="D821" t="inlineStr">
        <is>
          <t>OUA19H</t>
        </is>
      </c>
      <c r="H821" t="n">
        <v>240000</v>
      </c>
      <c r="I821" t="n">
        <v>240000</v>
      </c>
      <c r="J821" t="inlineStr">
        <is>
          <t>efectivo</t>
        </is>
      </c>
    </row>
    <row r="822">
      <c r="A822" s="3" t="n">
        <v>45982</v>
      </c>
      <c r="B822" t="inlineStr">
        <is>
          <t>Braillon</t>
        </is>
      </c>
      <c r="C822" t="inlineStr">
        <is>
          <t>Bajaj OUA 19H</t>
        </is>
      </c>
      <c r="D822" t="inlineStr">
        <is>
          <t>OUA19H</t>
        </is>
      </c>
      <c r="H822" t="n">
        <v>240000</v>
      </c>
      <c r="I822" t="n">
        <v>240000</v>
      </c>
      <c r="J822" t="inlineStr">
        <is>
          <t>efectivo</t>
        </is>
      </c>
    </row>
    <row r="823">
      <c r="A823" s="3" t="n">
        <v>45990</v>
      </c>
      <c r="B823" t="inlineStr">
        <is>
          <t>Braillon</t>
        </is>
      </c>
      <c r="C823" t="inlineStr">
        <is>
          <t>Bajaj OUA 19H</t>
        </is>
      </c>
      <c r="D823" t="inlineStr">
        <is>
          <t>OUA19H</t>
        </is>
      </c>
      <c r="H823" t="n">
        <v>240000</v>
      </c>
      <c r="I823" t="n">
        <v>240000</v>
      </c>
      <c r="J823" t="inlineStr">
        <is>
          <t>efectivo</t>
        </is>
      </c>
    </row>
    <row r="824">
      <c r="A824" s="3" t="n">
        <v>45998</v>
      </c>
      <c r="B824" t="inlineStr">
        <is>
          <t>Braillon</t>
        </is>
      </c>
      <c r="C824" t="inlineStr">
        <is>
          <t>Bajaj OUA 19H</t>
        </is>
      </c>
      <c r="D824" t="inlineStr">
        <is>
          <t>OUA19H</t>
        </is>
      </c>
      <c r="H824" t="n">
        <v>240000</v>
      </c>
      <c r="I824" t="n">
        <v>240000</v>
      </c>
      <c r="J824" t="inlineStr">
        <is>
          <t>efectivo</t>
        </is>
      </c>
    </row>
    <row r="825">
      <c r="A825" s="3" t="n">
        <v>46007</v>
      </c>
      <c r="B825" t="inlineStr">
        <is>
          <t>Braillon</t>
        </is>
      </c>
      <c r="C825" t="inlineStr">
        <is>
          <t>Bajaj OUA 19H</t>
        </is>
      </c>
      <c r="D825" t="inlineStr">
        <is>
          <t>OUA19H</t>
        </is>
      </c>
      <c r="H825" t="n">
        <v>240000</v>
      </c>
      <c r="I825" t="n">
        <v>240000</v>
      </c>
      <c r="J825" t="inlineStr">
        <is>
          <t>efectivo</t>
        </is>
      </c>
    </row>
    <row r="826">
      <c r="A826" s="3" t="n">
        <v>46015</v>
      </c>
      <c r="B826" t="inlineStr">
        <is>
          <t>Braillon</t>
        </is>
      </c>
      <c r="C826" t="inlineStr">
        <is>
          <t>Bajaj OUA 19H</t>
        </is>
      </c>
      <c r="D826" t="inlineStr">
        <is>
          <t>OUA19H</t>
        </is>
      </c>
      <c r="H826" t="n">
        <v>240000</v>
      </c>
      <c r="I826" t="n">
        <v>240000</v>
      </c>
      <c r="J826" t="inlineStr">
        <is>
          <t>efectivo</t>
        </is>
      </c>
    </row>
    <row r="827">
      <c r="A827" s="3" t="n">
        <v>46030</v>
      </c>
      <c r="B827" t="inlineStr">
        <is>
          <t>Braillon</t>
        </is>
      </c>
      <c r="C827" t="inlineStr">
        <is>
          <t>Bajaj OUA 19H</t>
        </is>
      </c>
      <c r="D827" t="inlineStr">
        <is>
          <t>OUA19H</t>
        </is>
      </c>
      <c r="H827" t="n">
        <v>240000</v>
      </c>
      <c r="I827" t="n">
        <v>240000</v>
      </c>
      <c r="J827" t="inlineStr">
        <is>
          <t>efectivo</t>
        </is>
      </c>
    </row>
    <row r="828">
      <c r="A828" s="3" t="n">
        <v>46038</v>
      </c>
      <c r="B828" t="inlineStr">
        <is>
          <t>Braillon</t>
        </is>
      </c>
      <c r="C828" t="inlineStr">
        <is>
          <t>Bajaj OUA 19H</t>
        </is>
      </c>
      <c r="D828" t="inlineStr">
        <is>
          <t>OUA19H</t>
        </is>
      </c>
      <c r="H828" t="n">
        <v>240000</v>
      </c>
      <c r="I828" t="n">
        <v>240000</v>
      </c>
      <c r="J828" t="inlineStr">
        <is>
          <t>efectivo</t>
        </is>
      </c>
    </row>
    <row r="829">
      <c r="A829" s="3" t="n">
        <v>46046</v>
      </c>
      <c r="B829" t="inlineStr">
        <is>
          <t>Braillon</t>
        </is>
      </c>
      <c r="C829" t="inlineStr">
        <is>
          <t>Bajaj OUA 19H</t>
        </is>
      </c>
      <c r="D829" t="inlineStr">
        <is>
          <t>OUA19H</t>
        </is>
      </c>
      <c r="H829" t="n">
        <v>240000</v>
      </c>
      <c r="I829" t="n">
        <v>240000</v>
      </c>
      <c r="J829" t="inlineStr">
        <is>
          <t>efectivo</t>
        </is>
      </c>
    </row>
    <row r="830">
      <c r="A830" s="3" t="n">
        <v>46055</v>
      </c>
      <c r="B830" t="inlineStr">
        <is>
          <t>Braillon</t>
        </is>
      </c>
      <c r="C830" t="inlineStr">
        <is>
          <t>Bajaj OUA 19H</t>
        </is>
      </c>
      <c r="D830" t="inlineStr">
        <is>
          <t>OUA19H</t>
        </is>
      </c>
      <c r="H830" t="n">
        <v>240000</v>
      </c>
      <c r="I830" t="n">
        <v>240000</v>
      </c>
      <c r="J830" t="inlineStr">
        <is>
          <t>efectivo</t>
        </is>
      </c>
    </row>
    <row r="831">
      <c r="A831" s="3" t="n">
        <v>46063</v>
      </c>
      <c r="B831" t="inlineStr">
        <is>
          <t>Braillon</t>
        </is>
      </c>
      <c r="C831" t="inlineStr">
        <is>
          <t>Bajaj OUA 19H</t>
        </is>
      </c>
      <c r="D831" t="inlineStr">
        <is>
          <t>OUA19H</t>
        </is>
      </c>
      <c r="H831" t="n">
        <v>240000</v>
      </c>
      <c r="I831" t="n">
        <v>240000</v>
      </c>
      <c r="J831" t="inlineStr">
        <is>
          <t>efectivo</t>
        </is>
      </c>
    </row>
    <row r="832">
      <c r="A832" s="3" t="n">
        <v>46071</v>
      </c>
      <c r="B832" t="inlineStr">
        <is>
          <t>Braillon</t>
        </is>
      </c>
      <c r="C832" t="inlineStr">
        <is>
          <t>Bajaj OUA 19H</t>
        </is>
      </c>
      <c r="D832" t="inlineStr">
        <is>
          <t>OUA19H</t>
        </is>
      </c>
      <c r="H832" t="n">
        <v>240000</v>
      </c>
      <c r="I832" t="n">
        <v>240000</v>
      </c>
      <c r="J832" t="inlineStr">
        <is>
          <t>efectivo</t>
        </is>
      </c>
    </row>
    <row r="833">
      <c r="A833" s="3" t="n">
        <v>46080</v>
      </c>
      <c r="B833" t="inlineStr">
        <is>
          <t>Braillon</t>
        </is>
      </c>
      <c r="C833" t="inlineStr">
        <is>
          <t>Bajaj OUA 19H</t>
        </is>
      </c>
      <c r="D833" t="inlineStr">
        <is>
          <t>OUA19H</t>
        </is>
      </c>
      <c r="H833" t="n">
        <v>240000</v>
      </c>
      <c r="I833" t="n">
        <v>240000</v>
      </c>
      <c r="J833" t="inlineStr">
        <is>
          <t>efectivo</t>
        </is>
      </c>
    </row>
    <row r="834">
      <c r="A834" s="3" t="n">
        <v>46089</v>
      </c>
      <c r="B834" t="inlineStr">
        <is>
          <t>Braillon</t>
        </is>
      </c>
      <c r="C834" t="inlineStr">
        <is>
          <t>Bajaj OUA 19H</t>
        </is>
      </c>
      <c r="D834" t="inlineStr">
        <is>
          <t>OUA19H</t>
        </is>
      </c>
      <c r="H834" t="n">
        <v>240000</v>
      </c>
      <c r="I834" t="n">
        <v>240000</v>
      </c>
      <c r="J834" t="inlineStr">
        <is>
          <t>efectivo</t>
        </is>
      </c>
    </row>
    <row r="835">
      <c r="A835" s="3" t="n">
        <v>46097</v>
      </c>
      <c r="B835" t="inlineStr">
        <is>
          <t>Braillon</t>
        </is>
      </c>
      <c r="C835" t="inlineStr">
        <is>
          <t>Bajaj OUA 19H</t>
        </is>
      </c>
      <c r="D835" t="inlineStr">
        <is>
          <t>OUA19H</t>
        </is>
      </c>
      <c r="H835" t="n">
        <v>240000</v>
      </c>
      <c r="I835" t="n">
        <v>240000</v>
      </c>
      <c r="J835" t="inlineStr">
        <is>
          <t>efectivo</t>
        </is>
      </c>
    </row>
    <row r="836">
      <c r="A836" s="3" t="n">
        <v>46110</v>
      </c>
      <c r="B836" t="inlineStr">
        <is>
          <t>Braillon</t>
        </is>
      </c>
      <c r="C836" t="inlineStr">
        <is>
          <t>Bajaj OUA 19H</t>
        </is>
      </c>
      <c r="D836" t="inlineStr">
        <is>
          <t>OUA19H</t>
        </is>
      </c>
      <c r="H836" t="n">
        <v>240000</v>
      </c>
      <c r="I836" t="n">
        <v>240000</v>
      </c>
      <c r="J836" t="inlineStr">
        <is>
          <t>efectivo</t>
        </is>
      </c>
    </row>
    <row r="837">
      <c r="A837" s="3" t="n">
        <v>46114</v>
      </c>
      <c r="B837" t="inlineStr">
        <is>
          <t>Braillon</t>
        </is>
      </c>
      <c r="C837" t="inlineStr">
        <is>
          <t>Bajaj OUA 19H</t>
        </is>
      </c>
      <c r="D837" t="inlineStr">
        <is>
          <t>OUA19H</t>
        </is>
      </c>
      <c r="H837" t="n">
        <v>240000</v>
      </c>
      <c r="I837" t="n">
        <v>240000</v>
      </c>
      <c r="J837" t="inlineStr">
        <is>
          <t>efectivo</t>
        </is>
      </c>
    </row>
    <row r="838">
      <c r="A838" s="3" t="n">
        <v>46126</v>
      </c>
      <c r="B838" t="inlineStr">
        <is>
          <t>Braillon</t>
        </is>
      </c>
      <c r="C838" t="inlineStr">
        <is>
          <t>Bajaj OUA 19H</t>
        </is>
      </c>
      <c r="D838" t="inlineStr">
        <is>
          <t>OUA19H</t>
        </is>
      </c>
      <c r="H838" t="n">
        <v>240000</v>
      </c>
      <c r="I838" t="n">
        <v>240000</v>
      </c>
      <c r="J838" t="inlineStr">
        <is>
          <t>efectivo</t>
        </is>
      </c>
    </row>
    <row r="839">
      <c r="A839" s="3" t="n">
        <v>46131</v>
      </c>
      <c r="B839" t="inlineStr">
        <is>
          <t>Braillon</t>
        </is>
      </c>
      <c r="C839" t="inlineStr">
        <is>
          <t>Bajaj OUA 19H</t>
        </is>
      </c>
      <c r="D839" t="inlineStr">
        <is>
          <t>OUA19H</t>
        </is>
      </c>
      <c r="H839" t="n">
        <v>240000</v>
      </c>
      <c r="I839" t="n">
        <v>240000</v>
      </c>
      <c r="J839" t="inlineStr">
        <is>
          <t>efectivo</t>
        </is>
      </c>
    </row>
    <row r="840">
      <c r="A840" s="3" t="n">
        <v>46141</v>
      </c>
      <c r="B840" t="inlineStr">
        <is>
          <t>Braillon</t>
        </is>
      </c>
      <c r="C840" t="inlineStr">
        <is>
          <t>Bajaj OUA 19H</t>
        </is>
      </c>
      <c r="D840" t="inlineStr">
        <is>
          <t>OUA19H</t>
        </is>
      </c>
      <c r="H840" t="n">
        <v>240000</v>
      </c>
      <c r="I840" t="n">
        <v>240000</v>
      </c>
      <c r="J840" t="inlineStr">
        <is>
          <t>efectivo</t>
        </is>
      </c>
    </row>
    <row r="841">
      <c r="A841" s="3" t="n">
        <v>46148</v>
      </c>
      <c r="B841" t="inlineStr">
        <is>
          <t>Braillon</t>
        </is>
      </c>
      <c r="C841" t="inlineStr">
        <is>
          <t>Bajaj OUA 19H</t>
        </is>
      </c>
      <c r="D841" t="inlineStr">
        <is>
          <t>OUA19H</t>
        </is>
      </c>
      <c r="H841" t="n">
        <v>240000</v>
      </c>
      <c r="I841" t="n">
        <v>240000</v>
      </c>
      <c r="J841" t="inlineStr">
        <is>
          <t>efectivo</t>
        </is>
      </c>
    </row>
    <row r="842">
      <c r="A842" s="3" t="n">
        <v>46154</v>
      </c>
      <c r="B842" t="inlineStr">
        <is>
          <t>Braillon</t>
        </is>
      </c>
      <c r="C842" t="inlineStr">
        <is>
          <t>Bajaj OUA 19H</t>
        </is>
      </c>
      <c r="D842" t="inlineStr">
        <is>
          <t>OUA19H</t>
        </is>
      </c>
      <c r="H842" t="n">
        <v>240000</v>
      </c>
      <c r="I842" t="n">
        <v>240000</v>
      </c>
      <c r="J842" t="inlineStr">
        <is>
          <t>efectivo</t>
        </is>
      </c>
    </row>
    <row r="843">
      <c r="A843" s="3" t="n">
        <v>46164</v>
      </c>
      <c r="B843" t="inlineStr">
        <is>
          <t>Braillon</t>
        </is>
      </c>
      <c r="C843" t="inlineStr">
        <is>
          <t>Bajaj OUA 19H</t>
        </is>
      </c>
      <c r="D843" t="inlineStr">
        <is>
          <t>OUA19H</t>
        </is>
      </c>
      <c r="H843" t="n">
        <v>240000</v>
      </c>
      <c r="I843" t="n">
        <v>240000</v>
      </c>
      <c r="J843" t="inlineStr">
        <is>
          <t>efectivo</t>
        </is>
      </c>
    </row>
    <row r="844">
      <c r="A844" s="3" t="n">
        <v>46171</v>
      </c>
      <c r="B844" t="inlineStr">
        <is>
          <t>Braillon</t>
        </is>
      </c>
      <c r="C844" t="inlineStr">
        <is>
          <t>Bajaj OUA 19H</t>
        </is>
      </c>
      <c r="D844" t="inlineStr">
        <is>
          <t>OUA19H</t>
        </is>
      </c>
      <c r="H844" t="n">
        <v>240000</v>
      </c>
      <c r="I844" t="n">
        <v>240000</v>
      </c>
      <c r="J844" t="inlineStr">
        <is>
          <t>efectivo</t>
        </is>
      </c>
    </row>
    <row r="845">
      <c r="A845" s="3" t="n">
        <v>46181</v>
      </c>
      <c r="B845" t="inlineStr">
        <is>
          <t>Braillon</t>
        </is>
      </c>
      <c r="C845" t="inlineStr">
        <is>
          <t>Bajaj OUA 19H</t>
        </is>
      </c>
      <c r="D845" t="inlineStr">
        <is>
          <t>OUA19H</t>
        </is>
      </c>
      <c r="H845" t="n">
        <v>240000</v>
      </c>
      <c r="I845" t="n">
        <v>240000</v>
      </c>
      <c r="J845" t="inlineStr">
        <is>
          <t>efectivo</t>
        </is>
      </c>
    </row>
    <row r="846">
      <c r="A846" s="3" t="n">
        <v>46188</v>
      </c>
      <c r="B846" t="inlineStr">
        <is>
          <t>Braillon</t>
        </is>
      </c>
      <c r="C846" t="inlineStr">
        <is>
          <t>Bajaj OUA 19H</t>
        </is>
      </c>
      <c r="D846" t="inlineStr">
        <is>
          <t>OUA19H</t>
        </is>
      </c>
      <c r="H846" t="n">
        <v>240000</v>
      </c>
      <c r="I846" t="n">
        <v>240000</v>
      </c>
      <c r="J846" t="inlineStr">
        <is>
          <t>efectivo</t>
        </is>
      </c>
    </row>
    <row r="847">
      <c r="A847" s="3" t="n">
        <v>46195</v>
      </c>
      <c r="B847" t="inlineStr">
        <is>
          <t>Braillon</t>
        </is>
      </c>
      <c r="C847" t="inlineStr">
        <is>
          <t>Bajaj OUA 19H</t>
        </is>
      </c>
      <c r="D847" t="inlineStr">
        <is>
          <t>OUA19H</t>
        </is>
      </c>
      <c r="H847" t="n">
        <v>240000</v>
      </c>
      <c r="I847" t="n">
        <v>240000</v>
      </c>
      <c r="J847" t="inlineStr">
        <is>
          <t>efectivo</t>
        </is>
      </c>
    </row>
    <row r="848">
      <c r="A848" s="3" t="n">
        <v>46202</v>
      </c>
      <c r="B848" t="inlineStr">
        <is>
          <t>Braillon</t>
        </is>
      </c>
      <c r="C848" t="inlineStr">
        <is>
          <t>Bajaj OUA 19H</t>
        </is>
      </c>
      <c r="D848" t="inlineStr">
        <is>
          <t>OUA19H</t>
        </is>
      </c>
      <c r="H848" t="n">
        <v>240000</v>
      </c>
      <c r="I848" t="n">
        <v>240000</v>
      </c>
      <c r="J848" t="inlineStr">
        <is>
          <t>efectivo</t>
        </is>
      </c>
    </row>
    <row r="849">
      <c r="A849" s="3" t="n">
        <v>46212</v>
      </c>
      <c r="B849" t="inlineStr">
        <is>
          <t>Braillon</t>
        </is>
      </c>
      <c r="C849" t="inlineStr">
        <is>
          <t>Bajaj OUA 19H</t>
        </is>
      </c>
      <c r="D849" t="inlineStr">
        <is>
          <t>OUA19H</t>
        </is>
      </c>
      <c r="H849" t="n">
        <v>240000</v>
      </c>
      <c r="I849" t="n">
        <v>240000</v>
      </c>
      <c r="J849" t="inlineStr">
        <is>
          <t>efectivo</t>
        </is>
      </c>
    </row>
    <row r="850">
      <c r="A850" s="3" t="n">
        <v>46219</v>
      </c>
      <c r="B850" t="inlineStr">
        <is>
          <t>Braillon</t>
        </is>
      </c>
      <c r="C850" t="inlineStr">
        <is>
          <t>Bajaj OUA 19H</t>
        </is>
      </c>
      <c r="D850" t="inlineStr">
        <is>
          <t>OUA19H</t>
        </is>
      </c>
      <c r="H850" t="n">
        <v>240000</v>
      </c>
      <c r="I850" t="n">
        <v>240000</v>
      </c>
      <c r="J850" t="inlineStr">
        <is>
          <t>efectivo</t>
        </is>
      </c>
    </row>
    <row r="851">
      <c r="A851" s="3" t="n">
        <v>45750</v>
      </c>
      <c r="B851" t="inlineStr">
        <is>
          <t>Gustavo Primo</t>
        </is>
      </c>
      <c r="C851" t="inlineStr">
        <is>
          <t>Bajaj OON 66H</t>
        </is>
      </c>
      <c r="D851" t="inlineStr">
        <is>
          <t>OON66H</t>
        </is>
      </c>
      <c r="H851" t="n">
        <v>240000</v>
      </c>
      <c r="I851" t="n">
        <v>240000</v>
      </c>
      <c r="J851" t="inlineStr">
        <is>
          <t>efectivo</t>
        </is>
      </c>
    </row>
    <row r="852">
      <c r="A852" s="3" t="n">
        <v>45757</v>
      </c>
      <c r="B852" t="inlineStr">
        <is>
          <t>Gustavo Primo</t>
        </is>
      </c>
      <c r="C852" t="inlineStr">
        <is>
          <t>Bajaj OON 66H</t>
        </is>
      </c>
      <c r="D852" t="inlineStr">
        <is>
          <t>OON66H</t>
        </is>
      </c>
      <c r="H852" t="n">
        <v>240000</v>
      </c>
      <c r="I852" t="n">
        <v>240000</v>
      </c>
      <c r="J852" t="inlineStr">
        <is>
          <t>efectivo</t>
        </is>
      </c>
    </row>
    <row r="853">
      <c r="A853" s="3" t="n">
        <v>45764</v>
      </c>
      <c r="B853" t="inlineStr">
        <is>
          <t>Gustavo Primo</t>
        </is>
      </c>
      <c r="C853" t="inlineStr">
        <is>
          <t>Bajaj OON 66H</t>
        </is>
      </c>
      <c r="D853" t="inlineStr">
        <is>
          <t>OON66H</t>
        </is>
      </c>
      <c r="H853" t="n">
        <v>240000</v>
      </c>
      <c r="I853" t="n">
        <v>240000</v>
      </c>
      <c r="J853" t="inlineStr">
        <is>
          <t>efectivo</t>
        </is>
      </c>
    </row>
    <row r="854">
      <c r="A854" s="3" t="n">
        <v>45771</v>
      </c>
      <c r="B854" t="inlineStr">
        <is>
          <t>Gustavo Primo</t>
        </is>
      </c>
      <c r="C854" t="inlineStr">
        <is>
          <t>Bajaj OON 66H</t>
        </is>
      </c>
      <c r="D854" t="inlineStr">
        <is>
          <t>OON66H</t>
        </is>
      </c>
      <c r="H854" t="n">
        <v>240000</v>
      </c>
      <c r="I854" t="n">
        <v>240000</v>
      </c>
      <c r="J854" t="inlineStr">
        <is>
          <t>efectivo</t>
        </is>
      </c>
    </row>
    <row r="855">
      <c r="A855" s="3" t="n">
        <v>45778</v>
      </c>
      <c r="B855" t="inlineStr">
        <is>
          <t>Gustavo Primo</t>
        </is>
      </c>
      <c r="C855" t="inlineStr">
        <is>
          <t>Bajaj OON 66H</t>
        </is>
      </c>
      <c r="D855" t="inlineStr">
        <is>
          <t>OON66H</t>
        </is>
      </c>
      <c r="H855" t="n">
        <v>240000</v>
      </c>
      <c r="I855" t="n">
        <v>240000</v>
      </c>
      <c r="J855" t="inlineStr">
        <is>
          <t>efectivo</t>
        </is>
      </c>
    </row>
    <row r="856">
      <c r="A856" s="3" t="n">
        <v>45785</v>
      </c>
      <c r="B856" t="inlineStr">
        <is>
          <t>Gustavo Primo</t>
        </is>
      </c>
      <c r="C856" t="inlineStr">
        <is>
          <t>Bajaj OON 66H</t>
        </is>
      </c>
      <c r="D856" t="inlineStr">
        <is>
          <t>OON66H</t>
        </is>
      </c>
      <c r="H856" t="n">
        <v>240000</v>
      </c>
      <c r="I856" t="n">
        <v>240000</v>
      </c>
      <c r="J856" t="inlineStr">
        <is>
          <t>efectivo</t>
        </is>
      </c>
    </row>
    <row r="857">
      <c r="A857" s="3" t="n">
        <v>45792</v>
      </c>
      <c r="B857" t="inlineStr">
        <is>
          <t>Gustavo Primo</t>
        </is>
      </c>
      <c r="C857" t="inlineStr">
        <is>
          <t>Bajaj OON 66H</t>
        </is>
      </c>
      <c r="D857" t="inlineStr">
        <is>
          <t>OON66H</t>
        </is>
      </c>
      <c r="H857" t="n">
        <v>240000</v>
      </c>
      <c r="I857" t="n">
        <v>240000</v>
      </c>
      <c r="J857" t="inlineStr">
        <is>
          <t>efectivo</t>
        </is>
      </c>
    </row>
    <row r="858">
      <c r="A858" s="3" t="n">
        <v>45799</v>
      </c>
      <c r="B858" t="inlineStr">
        <is>
          <t>Gustavo Primo</t>
        </is>
      </c>
      <c r="C858" t="inlineStr">
        <is>
          <t>Bajaj OON 66H</t>
        </is>
      </c>
      <c r="D858" t="inlineStr">
        <is>
          <t>OON66H</t>
        </is>
      </c>
      <c r="H858" t="n">
        <v>240000</v>
      </c>
      <c r="I858" t="n">
        <v>240000</v>
      </c>
      <c r="J858" t="inlineStr">
        <is>
          <t>efectivo</t>
        </is>
      </c>
    </row>
    <row r="859">
      <c r="A859" s="3" t="n">
        <v>45806</v>
      </c>
      <c r="B859" t="inlineStr">
        <is>
          <t>Gustavo Primo</t>
        </is>
      </c>
      <c r="C859" t="inlineStr">
        <is>
          <t>Bajaj OON 66H</t>
        </is>
      </c>
      <c r="D859" t="inlineStr">
        <is>
          <t>OON66H</t>
        </is>
      </c>
      <c r="H859" t="n">
        <v>240000</v>
      </c>
      <c r="I859" t="n">
        <v>240000</v>
      </c>
      <c r="J859" t="inlineStr">
        <is>
          <t>efectivo</t>
        </is>
      </c>
    </row>
    <row r="860">
      <c r="A860" s="3" t="n">
        <v>45813</v>
      </c>
      <c r="B860" t="inlineStr">
        <is>
          <t>Gustavo Primo</t>
        </is>
      </c>
      <c r="C860" t="inlineStr">
        <is>
          <t>Bajaj OON 66H</t>
        </is>
      </c>
      <c r="D860" t="inlineStr">
        <is>
          <t>OON66H</t>
        </is>
      </c>
      <c r="H860" t="n">
        <v>240000</v>
      </c>
      <c r="I860" t="n">
        <v>240000</v>
      </c>
      <c r="J860" t="inlineStr">
        <is>
          <t>efectivo</t>
        </is>
      </c>
    </row>
    <row r="861">
      <c r="A861" s="3" t="n">
        <v>45820</v>
      </c>
      <c r="B861" t="inlineStr">
        <is>
          <t>Gustavo Primo</t>
        </is>
      </c>
      <c r="C861" t="inlineStr">
        <is>
          <t>Bajaj OON 66H</t>
        </is>
      </c>
      <c r="D861" t="inlineStr">
        <is>
          <t>OON66H</t>
        </is>
      </c>
      <c r="H861" t="n">
        <v>240000</v>
      </c>
      <c r="I861" t="n">
        <v>240000</v>
      </c>
      <c r="J861" t="inlineStr">
        <is>
          <t>efectivo</t>
        </is>
      </c>
    </row>
    <row r="862">
      <c r="A862" s="3" t="n">
        <v>45827</v>
      </c>
      <c r="B862" t="inlineStr">
        <is>
          <t>Gustavo Primo</t>
        </is>
      </c>
      <c r="C862" t="inlineStr">
        <is>
          <t>Bajaj OON 66H</t>
        </is>
      </c>
      <c r="D862" t="inlineStr">
        <is>
          <t>OON66H</t>
        </is>
      </c>
      <c r="H862" t="n">
        <v>240000</v>
      </c>
      <c r="I862" t="n">
        <v>240000</v>
      </c>
      <c r="J862" t="inlineStr">
        <is>
          <t>efectivo</t>
        </is>
      </c>
    </row>
    <row r="863">
      <c r="A863" s="3" t="n">
        <v>45834</v>
      </c>
      <c r="B863" t="inlineStr">
        <is>
          <t>Gustavo Primo</t>
        </is>
      </c>
      <c r="C863" t="inlineStr">
        <is>
          <t>Bajaj OON 66H</t>
        </is>
      </c>
      <c r="D863" t="inlineStr">
        <is>
          <t>OON66H</t>
        </is>
      </c>
      <c r="H863" t="n">
        <v>240000</v>
      </c>
      <c r="I863" t="n">
        <v>240000</v>
      </c>
      <c r="J863" t="inlineStr">
        <is>
          <t>efectivo</t>
        </is>
      </c>
    </row>
    <row r="864">
      <c r="A864" s="3" t="n">
        <v>45841</v>
      </c>
      <c r="B864" t="inlineStr">
        <is>
          <t>Gustavo Primo</t>
        </is>
      </c>
      <c r="C864" t="inlineStr">
        <is>
          <t>Bajaj OON 66H</t>
        </is>
      </c>
      <c r="D864" t="inlineStr">
        <is>
          <t>OON66H</t>
        </is>
      </c>
      <c r="H864" t="n">
        <v>240000</v>
      </c>
      <c r="I864" t="n">
        <v>240000</v>
      </c>
      <c r="J864" t="inlineStr">
        <is>
          <t>efectivo</t>
        </is>
      </c>
    </row>
    <row r="865">
      <c r="A865" s="3" t="n">
        <v>45848</v>
      </c>
      <c r="B865" t="inlineStr">
        <is>
          <t>Gustavo Primo</t>
        </is>
      </c>
      <c r="C865" t="inlineStr">
        <is>
          <t>Bajaj OON 66H</t>
        </is>
      </c>
      <c r="D865" t="inlineStr">
        <is>
          <t>OON66H</t>
        </is>
      </c>
      <c r="H865" t="n">
        <v>240000</v>
      </c>
      <c r="I865" t="n">
        <v>240000</v>
      </c>
      <c r="J865" t="inlineStr">
        <is>
          <t>efectivo</t>
        </is>
      </c>
    </row>
    <row r="866">
      <c r="A866" s="3" t="n">
        <v>45855</v>
      </c>
      <c r="B866" t="inlineStr">
        <is>
          <t>Gustavo Primo</t>
        </is>
      </c>
      <c r="C866" t="inlineStr">
        <is>
          <t>Bajaj OON 66H</t>
        </is>
      </c>
      <c r="D866" t="inlineStr">
        <is>
          <t>OON66H</t>
        </is>
      </c>
      <c r="H866" t="n">
        <v>240000</v>
      </c>
      <c r="I866" t="n">
        <v>240000</v>
      </c>
      <c r="J866" t="inlineStr">
        <is>
          <t>efectivo</t>
        </is>
      </c>
    </row>
    <row r="867">
      <c r="A867" s="3" t="n">
        <v>45862</v>
      </c>
      <c r="B867" t="inlineStr">
        <is>
          <t>Gustavo Primo</t>
        </is>
      </c>
      <c r="C867" t="inlineStr">
        <is>
          <t>Bajaj OON 66H</t>
        </is>
      </c>
      <c r="D867" t="inlineStr">
        <is>
          <t>OON66H</t>
        </is>
      </c>
      <c r="H867" t="n">
        <v>240000</v>
      </c>
      <c r="I867" t="n">
        <v>240000</v>
      </c>
      <c r="J867" t="inlineStr">
        <is>
          <t>efectivo</t>
        </is>
      </c>
    </row>
    <row r="868">
      <c r="A868" s="3" t="n">
        <v>45869</v>
      </c>
      <c r="B868" t="inlineStr">
        <is>
          <t>Gustavo Primo</t>
        </is>
      </c>
      <c r="C868" t="inlineStr">
        <is>
          <t>Bajaj OON 66H</t>
        </is>
      </c>
      <c r="D868" t="inlineStr">
        <is>
          <t>OON66H</t>
        </is>
      </c>
      <c r="H868" t="n">
        <v>240000</v>
      </c>
      <c r="I868" t="n">
        <v>240000</v>
      </c>
      <c r="J868" t="inlineStr">
        <is>
          <t>efectivo</t>
        </is>
      </c>
    </row>
    <row r="869">
      <c r="A869" s="3" t="n">
        <v>45876</v>
      </c>
      <c r="B869" t="inlineStr">
        <is>
          <t>Gustavo Primo</t>
        </is>
      </c>
      <c r="C869" t="inlineStr">
        <is>
          <t>Bajaj OON 66H</t>
        </is>
      </c>
      <c r="D869" t="inlineStr">
        <is>
          <t>OON66H</t>
        </is>
      </c>
      <c r="H869" t="n">
        <v>240000</v>
      </c>
      <c r="I869" t="n">
        <v>240000</v>
      </c>
      <c r="J869" t="inlineStr">
        <is>
          <t>efectivo</t>
        </is>
      </c>
    </row>
    <row r="870">
      <c r="A870" s="3" t="n">
        <v>45883</v>
      </c>
      <c r="B870" t="inlineStr">
        <is>
          <t>Gustavo Primo</t>
        </is>
      </c>
      <c r="C870" t="inlineStr">
        <is>
          <t>Bajaj OON 66H</t>
        </is>
      </c>
      <c r="D870" t="inlineStr">
        <is>
          <t>OON66H</t>
        </is>
      </c>
      <c r="H870" t="n">
        <v>240000</v>
      </c>
      <c r="I870" t="n">
        <v>240000</v>
      </c>
      <c r="J870" t="inlineStr">
        <is>
          <t>efectivo</t>
        </is>
      </c>
    </row>
    <row r="871">
      <c r="A871" s="3" t="n">
        <v>45890</v>
      </c>
      <c r="B871" t="inlineStr">
        <is>
          <t>Gustavo Primo</t>
        </is>
      </c>
      <c r="C871" t="inlineStr">
        <is>
          <t>Bajaj OON 66H</t>
        </is>
      </c>
      <c r="D871" t="inlineStr">
        <is>
          <t>OON66H</t>
        </is>
      </c>
      <c r="H871" t="n">
        <v>240000</v>
      </c>
      <c r="I871" t="n">
        <v>240000</v>
      </c>
      <c r="J871" t="inlineStr">
        <is>
          <t>efectivo</t>
        </is>
      </c>
    </row>
    <row r="872">
      <c r="A872" s="3" t="n">
        <v>45897</v>
      </c>
      <c r="B872" t="inlineStr">
        <is>
          <t>Gustavo Primo</t>
        </is>
      </c>
      <c r="C872" t="inlineStr">
        <is>
          <t>Bajaj OON 66H</t>
        </is>
      </c>
      <c r="D872" t="inlineStr">
        <is>
          <t>OON66H</t>
        </is>
      </c>
      <c r="H872" t="n">
        <v>240000</v>
      </c>
      <c r="I872" t="n">
        <v>240000</v>
      </c>
      <c r="J872" t="inlineStr">
        <is>
          <t>efectivo</t>
        </is>
      </c>
    </row>
    <row r="873">
      <c r="A873" s="3" t="n">
        <v>45904</v>
      </c>
      <c r="B873" t="inlineStr">
        <is>
          <t>Gustavo Primo</t>
        </is>
      </c>
      <c r="C873" t="inlineStr">
        <is>
          <t>Bajaj OON 66H</t>
        </is>
      </c>
      <c r="D873" t="inlineStr">
        <is>
          <t>OON66H</t>
        </is>
      </c>
      <c r="H873" t="n">
        <v>240000</v>
      </c>
      <c r="I873" t="n">
        <v>240000</v>
      </c>
      <c r="J873" t="inlineStr">
        <is>
          <t>efectivo</t>
        </is>
      </c>
    </row>
    <row r="874">
      <c r="A874" s="3" t="n">
        <v>45911</v>
      </c>
      <c r="B874" t="inlineStr">
        <is>
          <t>Gustavo Primo</t>
        </is>
      </c>
      <c r="C874" t="inlineStr">
        <is>
          <t>Bajaj OON 66H</t>
        </is>
      </c>
      <c r="D874" t="inlineStr">
        <is>
          <t>OON66H</t>
        </is>
      </c>
      <c r="H874" t="n">
        <v>240000</v>
      </c>
      <c r="I874" t="n">
        <v>240000</v>
      </c>
      <c r="J874" t="inlineStr">
        <is>
          <t>efectivo</t>
        </is>
      </c>
    </row>
    <row r="875">
      <c r="A875" s="3" t="n">
        <v>45918</v>
      </c>
      <c r="B875" t="inlineStr">
        <is>
          <t>Gustavo Primo</t>
        </is>
      </c>
      <c r="C875" t="inlineStr">
        <is>
          <t>Bajaj OON 66H</t>
        </is>
      </c>
      <c r="D875" t="inlineStr">
        <is>
          <t>OON66H</t>
        </is>
      </c>
      <c r="H875" t="n">
        <v>240000</v>
      </c>
      <c r="I875" t="n">
        <v>240000</v>
      </c>
      <c r="J875" t="inlineStr">
        <is>
          <t>efectivo</t>
        </is>
      </c>
    </row>
    <row r="876">
      <c r="A876" s="3" t="n">
        <v>45925</v>
      </c>
      <c r="B876" t="inlineStr">
        <is>
          <t>Gustavo Primo</t>
        </is>
      </c>
      <c r="C876" t="inlineStr">
        <is>
          <t>Bajaj OON 66H</t>
        </is>
      </c>
      <c r="D876" t="inlineStr">
        <is>
          <t>OON66H</t>
        </is>
      </c>
      <c r="H876" t="n">
        <v>240000</v>
      </c>
      <c r="I876" t="n">
        <v>240000</v>
      </c>
      <c r="J876" t="inlineStr">
        <is>
          <t>efectivo</t>
        </is>
      </c>
    </row>
    <row r="877">
      <c r="A877" s="3" t="n">
        <v>45932</v>
      </c>
      <c r="B877" t="inlineStr">
        <is>
          <t>Gustavo Primo</t>
        </is>
      </c>
      <c r="C877" t="inlineStr">
        <is>
          <t>Bajaj OON 66H</t>
        </is>
      </c>
      <c r="D877" t="inlineStr">
        <is>
          <t>OON66H</t>
        </is>
      </c>
      <c r="H877" t="n">
        <v>240000</v>
      </c>
      <c r="I877" t="n">
        <v>240000</v>
      </c>
      <c r="J877" t="inlineStr">
        <is>
          <t>efectivo</t>
        </is>
      </c>
    </row>
    <row r="878">
      <c r="A878" s="3" t="n">
        <v>45939</v>
      </c>
      <c r="B878" t="inlineStr">
        <is>
          <t>Gustavo Primo</t>
        </is>
      </c>
      <c r="C878" t="inlineStr">
        <is>
          <t>Bajaj OON 66H</t>
        </is>
      </c>
      <c r="D878" t="inlineStr">
        <is>
          <t>OON66H</t>
        </is>
      </c>
      <c r="H878" t="n">
        <v>240000</v>
      </c>
      <c r="I878" t="n">
        <v>240000</v>
      </c>
      <c r="J878" t="inlineStr">
        <is>
          <t>efectivo</t>
        </is>
      </c>
    </row>
    <row r="879">
      <c r="A879" s="3" t="n">
        <v>45946</v>
      </c>
      <c r="B879" t="inlineStr">
        <is>
          <t>Gustavo Primo</t>
        </is>
      </c>
      <c r="C879" t="inlineStr">
        <is>
          <t>Bajaj OON 66H</t>
        </is>
      </c>
      <c r="D879" t="inlineStr">
        <is>
          <t>OON66H</t>
        </is>
      </c>
      <c r="H879" t="n">
        <v>240000</v>
      </c>
      <c r="I879" t="n">
        <v>240000</v>
      </c>
      <c r="J879" t="inlineStr">
        <is>
          <t>efectivo</t>
        </is>
      </c>
    </row>
    <row r="880">
      <c r="A880" s="3" t="n">
        <v>45953</v>
      </c>
      <c r="B880" t="inlineStr">
        <is>
          <t>Gustavo Primo</t>
        </is>
      </c>
      <c r="C880" t="inlineStr">
        <is>
          <t>Bajaj OON 66H</t>
        </is>
      </c>
      <c r="D880" t="inlineStr">
        <is>
          <t>OON66H</t>
        </is>
      </c>
      <c r="H880" t="n">
        <v>240000</v>
      </c>
      <c r="I880" t="n">
        <v>240000</v>
      </c>
      <c r="J880" t="inlineStr">
        <is>
          <t>efectivo</t>
        </is>
      </c>
    </row>
    <row r="881">
      <c r="A881" s="3" t="n">
        <v>45960</v>
      </c>
      <c r="B881" t="inlineStr">
        <is>
          <t>Gustavo Primo</t>
        </is>
      </c>
      <c r="C881" t="inlineStr">
        <is>
          <t>Bajaj OON 66H</t>
        </is>
      </c>
      <c r="D881" t="inlineStr">
        <is>
          <t>OON66H</t>
        </is>
      </c>
      <c r="H881" t="n">
        <v>240000</v>
      </c>
      <c r="I881" t="n">
        <v>240000</v>
      </c>
      <c r="J881" t="inlineStr">
        <is>
          <t>efectivo</t>
        </is>
      </c>
    </row>
    <row r="882">
      <c r="A882" s="3" t="n">
        <v>45967</v>
      </c>
      <c r="B882" t="inlineStr">
        <is>
          <t>Gustavo Primo</t>
        </is>
      </c>
      <c r="C882" t="inlineStr">
        <is>
          <t>Bajaj OON 66H</t>
        </is>
      </c>
      <c r="D882" t="inlineStr">
        <is>
          <t>OON66H</t>
        </is>
      </c>
      <c r="H882" t="n">
        <v>240000</v>
      </c>
      <c r="I882" t="n">
        <v>240000</v>
      </c>
      <c r="J882" t="inlineStr">
        <is>
          <t>efectivo</t>
        </is>
      </c>
    </row>
    <row r="883">
      <c r="A883" s="3" t="n">
        <v>45974</v>
      </c>
      <c r="B883" t="inlineStr">
        <is>
          <t>Gustavo Primo</t>
        </is>
      </c>
      <c r="C883" t="inlineStr">
        <is>
          <t>Bajaj OON 66H</t>
        </is>
      </c>
      <c r="D883" t="inlineStr">
        <is>
          <t>OON66H</t>
        </is>
      </c>
      <c r="H883" t="n">
        <v>240000</v>
      </c>
      <c r="I883" t="n">
        <v>240000</v>
      </c>
      <c r="J883" t="inlineStr">
        <is>
          <t>efectivo</t>
        </is>
      </c>
    </row>
    <row r="884">
      <c r="A884" s="3" t="n">
        <v>45981</v>
      </c>
      <c r="B884" t="inlineStr">
        <is>
          <t>Gustavo Primo</t>
        </is>
      </c>
      <c r="C884" t="inlineStr">
        <is>
          <t>Bajaj OON 66H</t>
        </is>
      </c>
      <c r="D884" t="inlineStr">
        <is>
          <t>OON66H</t>
        </is>
      </c>
      <c r="H884" t="n">
        <v>240000</v>
      </c>
      <c r="I884" t="n">
        <v>240000</v>
      </c>
      <c r="J884" t="inlineStr">
        <is>
          <t>efectivo</t>
        </is>
      </c>
    </row>
    <row r="885">
      <c r="A885" s="3" t="n">
        <v>45988</v>
      </c>
      <c r="B885" t="inlineStr">
        <is>
          <t>Gustavo Primo</t>
        </is>
      </c>
      <c r="C885" t="inlineStr">
        <is>
          <t>Bajaj OON 66H</t>
        </is>
      </c>
      <c r="D885" t="inlineStr">
        <is>
          <t>OON66H</t>
        </is>
      </c>
      <c r="H885" t="n">
        <v>240000</v>
      </c>
      <c r="I885" t="n">
        <v>240000</v>
      </c>
      <c r="J885" t="inlineStr">
        <is>
          <t>efectivo</t>
        </is>
      </c>
    </row>
    <row r="886">
      <c r="A886" s="3" t="n">
        <v>45995</v>
      </c>
      <c r="B886" t="inlineStr">
        <is>
          <t>Gustavo Primo</t>
        </is>
      </c>
      <c r="C886" t="inlineStr">
        <is>
          <t>Bajaj OON 66H</t>
        </is>
      </c>
      <c r="D886" t="inlineStr">
        <is>
          <t>OON66H</t>
        </is>
      </c>
      <c r="H886" t="n">
        <v>240000</v>
      </c>
      <c r="I886" t="n">
        <v>240000</v>
      </c>
      <c r="J886" t="inlineStr">
        <is>
          <t>efectivo</t>
        </is>
      </c>
    </row>
    <row r="887">
      <c r="A887" s="3" t="n">
        <v>46002</v>
      </c>
      <c r="B887" t="inlineStr">
        <is>
          <t>Gustavo Primo</t>
        </is>
      </c>
      <c r="C887" t="inlineStr">
        <is>
          <t>Bajaj OON 66H</t>
        </is>
      </c>
      <c r="D887" t="inlineStr">
        <is>
          <t>OON66H</t>
        </is>
      </c>
      <c r="H887" t="n">
        <v>240000</v>
      </c>
      <c r="I887" t="n">
        <v>240000</v>
      </c>
      <c r="J887" t="inlineStr">
        <is>
          <t>efectivo</t>
        </is>
      </c>
    </row>
    <row r="888">
      <c r="A888" s="3" t="n">
        <v>46009</v>
      </c>
      <c r="B888" t="inlineStr">
        <is>
          <t>Gustavo Primo</t>
        </is>
      </c>
      <c r="C888" t="inlineStr">
        <is>
          <t>Bajaj OON 66H</t>
        </is>
      </c>
      <c r="D888" t="inlineStr">
        <is>
          <t>OON66H</t>
        </is>
      </c>
      <c r="H888" t="n">
        <v>240000</v>
      </c>
      <c r="I888" t="n">
        <v>240000</v>
      </c>
      <c r="J888" t="inlineStr">
        <is>
          <t>efectivo</t>
        </is>
      </c>
    </row>
    <row r="889">
      <c r="A889" s="3" t="n">
        <v>46016</v>
      </c>
      <c r="B889" t="inlineStr">
        <is>
          <t>Gustavo Primo</t>
        </is>
      </c>
      <c r="C889" t="inlineStr">
        <is>
          <t>Bajaj OON 66H</t>
        </is>
      </c>
      <c r="D889" t="inlineStr">
        <is>
          <t>OON66H</t>
        </is>
      </c>
      <c r="H889" t="n">
        <v>240000</v>
      </c>
      <c r="I889" t="n">
        <v>240000</v>
      </c>
      <c r="J889" t="inlineStr">
        <is>
          <t>efectivo</t>
        </is>
      </c>
    </row>
    <row r="890">
      <c r="A890" s="3" t="n">
        <v>46023</v>
      </c>
      <c r="B890" t="inlineStr">
        <is>
          <t>Gustavo Primo</t>
        </is>
      </c>
      <c r="C890" t="inlineStr">
        <is>
          <t>Bajaj OON 66H</t>
        </is>
      </c>
      <c r="D890" t="inlineStr">
        <is>
          <t>OON66H</t>
        </is>
      </c>
      <c r="H890" t="n">
        <v>240000</v>
      </c>
      <c r="I890" t="n">
        <v>240000</v>
      </c>
      <c r="J890" t="inlineStr">
        <is>
          <t>efectivo</t>
        </is>
      </c>
    </row>
    <row r="891">
      <c r="A891" s="3" t="n">
        <v>46030</v>
      </c>
      <c r="B891" t="inlineStr">
        <is>
          <t>Gustavo Primo</t>
        </is>
      </c>
      <c r="C891" t="inlineStr">
        <is>
          <t>Bajaj OON 66H</t>
        </is>
      </c>
      <c r="D891" t="inlineStr">
        <is>
          <t>OON66H</t>
        </is>
      </c>
      <c r="H891" t="n">
        <v>240000</v>
      </c>
      <c r="I891" t="n">
        <v>240000</v>
      </c>
      <c r="J891" t="inlineStr">
        <is>
          <t>efectivo</t>
        </is>
      </c>
    </row>
    <row r="892">
      <c r="A892" s="3" t="n">
        <v>46037</v>
      </c>
      <c r="B892" t="inlineStr">
        <is>
          <t>Gustavo Primo</t>
        </is>
      </c>
      <c r="C892" t="inlineStr">
        <is>
          <t>Bajaj OON 66H</t>
        </is>
      </c>
      <c r="D892" t="inlineStr">
        <is>
          <t>OON66H</t>
        </is>
      </c>
      <c r="H892" t="n">
        <v>240000</v>
      </c>
      <c r="I892" t="n">
        <v>240000</v>
      </c>
      <c r="J892" t="inlineStr">
        <is>
          <t>efectivo</t>
        </is>
      </c>
    </row>
    <row r="893">
      <c r="A893" s="3" t="n">
        <v>46044</v>
      </c>
      <c r="B893" t="inlineStr">
        <is>
          <t>Gustavo Primo</t>
        </is>
      </c>
      <c r="C893" t="inlineStr">
        <is>
          <t>Bajaj OON 66H</t>
        </is>
      </c>
      <c r="D893" t="inlineStr">
        <is>
          <t>OON66H</t>
        </is>
      </c>
      <c r="H893" t="n">
        <v>240000</v>
      </c>
      <c r="I893" t="n">
        <v>240000</v>
      </c>
      <c r="J893" t="inlineStr">
        <is>
          <t>efectivo</t>
        </is>
      </c>
    </row>
    <row r="894">
      <c r="A894" s="3" t="n">
        <v>46051</v>
      </c>
      <c r="B894" t="inlineStr">
        <is>
          <t>Gustavo Primo</t>
        </is>
      </c>
      <c r="C894" t="inlineStr">
        <is>
          <t>Bajaj OON 66H</t>
        </is>
      </c>
      <c r="D894" t="inlineStr">
        <is>
          <t>OON66H</t>
        </is>
      </c>
      <c r="H894" t="n">
        <v>240000</v>
      </c>
      <c r="I894" t="n">
        <v>240000</v>
      </c>
      <c r="J894" t="inlineStr">
        <is>
          <t>efectivo</t>
        </is>
      </c>
    </row>
    <row r="895">
      <c r="A895" s="3" t="n">
        <v>46058</v>
      </c>
      <c r="B895" t="inlineStr">
        <is>
          <t>Gustavo Primo</t>
        </is>
      </c>
      <c r="C895" t="inlineStr">
        <is>
          <t>Bajaj OON 66H</t>
        </is>
      </c>
      <c r="D895" t="inlineStr">
        <is>
          <t>OON66H</t>
        </is>
      </c>
      <c r="H895" t="n">
        <v>240000</v>
      </c>
      <c r="I895" t="n">
        <v>240000</v>
      </c>
      <c r="J895" t="inlineStr">
        <is>
          <t>efectivo</t>
        </is>
      </c>
    </row>
    <row r="896">
      <c r="A896" s="3" t="n">
        <v>46065</v>
      </c>
      <c r="B896" t="inlineStr">
        <is>
          <t>Gustavo Primo</t>
        </is>
      </c>
      <c r="C896" t="inlineStr">
        <is>
          <t>Bajaj OON 66H</t>
        </is>
      </c>
      <c r="D896" t="inlineStr">
        <is>
          <t>OON66H</t>
        </is>
      </c>
      <c r="H896" t="n">
        <v>240000</v>
      </c>
      <c r="I896" t="n">
        <v>240000</v>
      </c>
      <c r="J896" t="inlineStr">
        <is>
          <t>efectivo</t>
        </is>
      </c>
    </row>
    <row r="897">
      <c r="A897" s="3" t="n">
        <v>46072</v>
      </c>
      <c r="B897" t="inlineStr">
        <is>
          <t>Gustavo Primo</t>
        </is>
      </c>
      <c r="C897" t="inlineStr">
        <is>
          <t>Bajaj OON 66H</t>
        </is>
      </c>
      <c r="D897" t="inlineStr">
        <is>
          <t>OON66H</t>
        </is>
      </c>
      <c r="H897" t="n">
        <v>240000</v>
      </c>
      <c r="I897" t="n">
        <v>240000</v>
      </c>
      <c r="J897" t="inlineStr">
        <is>
          <t>efectivo</t>
        </is>
      </c>
    </row>
    <row r="898">
      <c r="A898" s="3" t="n">
        <v>46079</v>
      </c>
      <c r="B898" t="inlineStr">
        <is>
          <t>Gustavo Primo</t>
        </is>
      </c>
      <c r="C898" t="inlineStr">
        <is>
          <t>Bajaj OON 66H</t>
        </is>
      </c>
      <c r="D898" t="inlineStr">
        <is>
          <t>OON66H</t>
        </is>
      </c>
      <c r="H898" t="n">
        <v>240000</v>
      </c>
      <c r="I898" t="n">
        <v>240000</v>
      </c>
      <c r="J898" t="inlineStr">
        <is>
          <t>efectivo</t>
        </is>
      </c>
    </row>
    <row r="899">
      <c r="A899" s="3" t="n">
        <v>46086</v>
      </c>
      <c r="B899" t="inlineStr">
        <is>
          <t>Gustavo Primo</t>
        </is>
      </c>
      <c r="C899" t="inlineStr">
        <is>
          <t>Bajaj OON 66H</t>
        </is>
      </c>
      <c r="D899" t="inlineStr">
        <is>
          <t>OON66H</t>
        </is>
      </c>
      <c r="H899" t="n">
        <v>240000</v>
      </c>
      <c r="I899" t="n">
        <v>240000</v>
      </c>
      <c r="J899" t="inlineStr">
        <is>
          <t>efectivo</t>
        </is>
      </c>
    </row>
    <row r="900">
      <c r="A900" s="3" t="n">
        <v>46093</v>
      </c>
      <c r="B900" t="inlineStr">
        <is>
          <t>Gustavo Primo</t>
        </is>
      </c>
      <c r="C900" t="inlineStr">
        <is>
          <t>Bajaj OON 66H</t>
        </is>
      </c>
      <c r="D900" t="inlineStr">
        <is>
          <t>OON66H</t>
        </is>
      </c>
      <c r="H900" t="n">
        <v>240000</v>
      </c>
      <c r="I900" t="n">
        <v>240000</v>
      </c>
      <c r="J900" t="inlineStr">
        <is>
          <t>efectivo</t>
        </is>
      </c>
    </row>
    <row r="901">
      <c r="A901" s="3" t="n">
        <v>46100</v>
      </c>
      <c r="B901" t="inlineStr">
        <is>
          <t>Gustavo Primo</t>
        </is>
      </c>
      <c r="C901" t="inlineStr">
        <is>
          <t>Bajaj OON 66H</t>
        </is>
      </c>
      <c r="D901" t="inlineStr">
        <is>
          <t>OON66H</t>
        </is>
      </c>
      <c r="H901" t="n">
        <v>240000</v>
      </c>
      <c r="I901" t="n">
        <v>240000</v>
      </c>
      <c r="J901" t="inlineStr">
        <is>
          <t>efectivo</t>
        </is>
      </c>
    </row>
    <row r="902">
      <c r="A902" s="3" t="n">
        <v>46107</v>
      </c>
      <c r="B902" t="inlineStr">
        <is>
          <t>Gustavo Primo</t>
        </is>
      </c>
      <c r="C902" t="inlineStr">
        <is>
          <t>Bajaj OON 66H</t>
        </is>
      </c>
      <c r="D902" t="inlineStr">
        <is>
          <t>OON66H</t>
        </is>
      </c>
      <c r="H902" t="n">
        <v>240000</v>
      </c>
      <c r="I902" t="n">
        <v>240000</v>
      </c>
      <c r="J902" t="inlineStr">
        <is>
          <t>efectivo</t>
        </is>
      </c>
    </row>
    <row r="903">
      <c r="A903" s="3" t="n">
        <v>46113</v>
      </c>
      <c r="B903" t="inlineStr">
        <is>
          <t>Gustavo Primo</t>
        </is>
      </c>
      <c r="C903" t="inlineStr">
        <is>
          <t>Bajaj OON 66H</t>
        </is>
      </c>
      <c r="D903" t="inlineStr">
        <is>
          <t>OON66H</t>
        </is>
      </c>
      <c r="H903" t="n">
        <v>240000</v>
      </c>
      <c r="I903" t="n">
        <v>240000</v>
      </c>
      <c r="J903" t="inlineStr">
        <is>
          <t>efectivo</t>
        </is>
      </c>
    </row>
    <row r="904">
      <c r="A904" s="3" t="n">
        <v>46120</v>
      </c>
      <c r="B904" t="inlineStr">
        <is>
          <t>Gustavo Primo</t>
        </is>
      </c>
      <c r="C904" t="inlineStr">
        <is>
          <t>Bajaj OON 66H</t>
        </is>
      </c>
      <c r="D904" t="inlineStr">
        <is>
          <t>OON66H</t>
        </is>
      </c>
      <c r="H904" t="n">
        <v>240000</v>
      </c>
      <c r="I904" t="n">
        <v>240000</v>
      </c>
      <c r="J904" t="inlineStr">
        <is>
          <t>efectivo</t>
        </is>
      </c>
    </row>
    <row r="905">
      <c r="A905" s="3" t="n">
        <v>46127</v>
      </c>
      <c r="B905" t="inlineStr">
        <is>
          <t>Gustavo Primo</t>
        </is>
      </c>
      <c r="C905" t="inlineStr">
        <is>
          <t>Bajaj OON 66H</t>
        </is>
      </c>
      <c r="D905" t="inlineStr">
        <is>
          <t>OON66H</t>
        </is>
      </c>
      <c r="H905" t="n">
        <v>240000</v>
      </c>
      <c r="I905" t="n">
        <v>240000</v>
      </c>
      <c r="J905" t="inlineStr">
        <is>
          <t>efectivo</t>
        </is>
      </c>
    </row>
    <row r="906">
      <c r="A906" s="3" t="n">
        <v>46134</v>
      </c>
      <c r="B906" t="inlineStr">
        <is>
          <t>Gustavo Primo</t>
        </is>
      </c>
      <c r="C906" t="inlineStr">
        <is>
          <t>Bajaj OON 66H</t>
        </is>
      </c>
      <c r="D906" t="inlineStr">
        <is>
          <t>OON66H</t>
        </is>
      </c>
      <c r="H906" t="n">
        <v>240000</v>
      </c>
      <c r="I906" t="n">
        <v>240000</v>
      </c>
      <c r="J906" t="inlineStr">
        <is>
          <t>efectivo</t>
        </is>
      </c>
    </row>
    <row r="907">
      <c r="A907" s="3" t="n">
        <v>46141</v>
      </c>
      <c r="B907" t="inlineStr">
        <is>
          <t>Gustavo Primo</t>
        </is>
      </c>
      <c r="C907" t="inlineStr">
        <is>
          <t>Bajaj OON 66H</t>
        </is>
      </c>
      <c r="D907" t="inlineStr">
        <is>
          <t>OON66H</t>
        </is>
      </c>
      <c r="H907" t="n">
        <v>240000</v>
      </c>
      <c r="I907" t="n">
        <v>240000</v>
      </c>
      <c r="J907" t="inlineStr">
        <is>
          <t>efectivo</t>
        </is>
      </c>
    </row>
    <row r="908">
      <c r="A908" s="3" t="n">
        <v>46148</v>
      </c>
      <c r="B908" t="inlineStr">
        <is>
          <t>Gustavo Primo</t>
        </is>
      </c>
      <c r="C908" t="inlineStr">
        <is>
          <t>Bajaj OON 66H</t>
        </is>
      </c>
      <c r="D908" t="inlineStr">
        <is>
          <t>OON66H</t>
        </is>
      </c>
      <c r="H908" t="n">
        <v>240000</v>
      </c>
      <c r="I908" t="n">
        <v>240000</v>
      </c>
      <c r="J908" t="inlineStr">
        <is>
          <t>efectivo</t>
        </is>
      </c>
    </row>
    <row r="909">
      <c r="A909" s="3" t="n">
        <v>46156</v>
      </c>
      <c r="B909" t="inlineStr">
        <is>
          <t>Gustavo Primo</t>
        </is>
      </c>
      <c r="C909" t="inlineStr">
        <is>
          <t>Bajaj OON 66H</t>
        </is>
      </c>
      <c r="D909" t="inlineStr">
        <is>
          <t>OON66H</t>
        </is>
      </c>
      <c r="H909" t="n">
        <v>240000</v>
      </c>
      <c r="I909" t="n">
        <v>240000</v>
      </c>
      <c r="J909" t="inlineStr">
        <is>
          <t>efectivo</t>
        </is>
      </c>
    </row>
    <row r="910">
      <c r="A910" s="3" t="n">
        <v>46163</v>
      </c>
      <c r="B910" t="inlineStr">
        <is>
          <t>Gustavo Primo</t>
        </is>
      </c>
      <c r="C910" t="inlineStr">
        <is>
          <t>Bajaj OON 66H</t>
        </is>
      </c>
      <c r="D910" t="inlineStr">
        <is>
          <t>OON66H</t>
        </is>
      </c>
      <c r="H910" t="n">
        <v>240000</v>
      </c>
      <c r="I910" t="n">
        <v>240000</v>
      </c>
      <c r="J910" t="inlineStr">
        <is>
          <t>efectivo</t>
        </is>
      </c>
    </row>
    <row r="911">
      <c r="A911" s="3" t="n">
        <v>46170</v>
      </c>
      <c r="B911" t="inlineStr">
        <is>
          <t>Gustavo Primo</t>
        </is>
      </c>
      <c r="C911" t="inlineStr">
        <is>
          <t>Bajaj OON 66H</t>
        </is>
      </c>
      <c r="D911" t="inlineStr">
        <is>
          <t>OON66H</t>
        </is>
      </c>
      <c r="H911" t="n">
        <v>240000</v>
      </c>
      <c r="I911" t="n">
        <v>240000</v>
      </c>
      <c r="J911" t="inlineStr">
        <is>
          <t>efectivo</t>
        </is>
      </c>
    </row>
    <row r="912">
      <c r="A912" s="3" t="n">
        <v>46177</v>
      </c>
      <c r="B912" t="inlineStr">
        <is>
          <t>Gustavo Primo</t>
        </is>
      </c>
      <c r="C912" t="inlineStr">
        <is>
          <t>Bajaj OON 66H</t>
        </is>
      </c>
      <c r="D912" t="inlineStr">
        <is>
          <t>OON66H</t>
        </is>
      </c>
      <c r="H912" t="n">
        <v>240000</v>
      </c>
      <c r="I912" t="n">
        <v>240000</v>
      </c>
      <c r="J912" t="inlineStr">
        <is>
          <t>efectivo</t>
        </is>
      </c>
    </row>
    <row r="913">
      <c r="A913" s="3" t="n">
        <v>46184</v>
      </c>
      <c r="B913" t="inlineStr">
        <is>
          <t>Gustavo Primo</t>
        </is>
      </c>
      <c r="C913" t="inlineStr">
        <is>
          <t>Bajaj OON 66H</t>
        </is>
      </c>
      <c r="D913" t="inlineStr">
        <is>
          <t>OON66H</t>
        </is>
      </c>
      <c r="H913" t="n">
        <v>240000</v>
      </c>
      <c r="I913" t="n">
        <v>240000</v>
      </c>
      <c r="J913" t="inlineStr">
        <is>
          <t>efectivo</t>
        </is>
      </c>
    </row>
    <row r="914">
      <c r="A914" s="3" t="n">
        <v>46191</v>
      </c>
      <c r="B914" t="inlineStr">
        <is>
          <t>Gustavo Primo</t>
        </is>
      </c>
      <c r="C914" t="inlineStr">
        <is>
          <t>Bajaj OON 66H</t>
        </is>
      </c>
      <c r="D914" t="inlineStr">
        <is>
          <t>OON66H</t>
        </is>
      </c>
      <c r="H914" t="n">
        <v>240000</v>
      </c>
      <c r="I914" t="n">
        <v>240000</v>
      </c>
      <c r="J914" t="inlineStr">
        <is>
          <t>efectivo</t>
        </is>
      </c>
    </row>
    <row r="915">
      <c r="A915" s="3" t="n">
        <v>46198</v>
      </c>
      <c r="B915" t="inlineStr">
        <is>
          <t>Gustavo Primo</t>
        </is>
      </c>
      <c r="C915" t="inlineStr">
        <is>
          <t>Bajaj OON 66H</t>
        </is>
      </c>
      <c r="D915" t="inlineStr">
        <is>
          <t>OON66H</t>
        </is>
      </c>
      <c r="H915" t="n">
        <v>240000</v>
      </c>
      <c r="I915" t="n">
        <v>240000</v>
      </c>
      <c r="J915" t="inlineStr">
        <is>
          <t>efectivo</t>
        </is>
      </c>
    </row>
    <row r="916">
      <c r="A916" s="3" t="n">
        <v>46205</v>
      </c>
      <c r="B916" t="inlineStr">
        <is>
          <t>Gustavo Primo</t>
        </is>
      </c>
      <c r="C916" t="inlineStr">
        <is>
          <t>Bajaj OON 66H</t>
        </is>
      </c>
      <c r="D916" t="inlineStr">
        <is>
          <t>OON66H</t>
        </is>
      </c>
      <c r="H916" t="n">
        <v>240000</v>
      </c>
      <c r="I916" t="n">
        <v>240000</v>
      </c>
      <c r="J916" t="inlineStr">
        <is>
          <t>efectivo</t>
        </is>
      </c>
    </row>
    <row r="917">
      <c r="A917" s="3" t="n">
        <v>46212</v>
      </c>
      <c r="B917" t="inlineStr">
        <is>
          <t>Gustavo Primo</t>
        </is>
      </c>
      <c r="C917" t="inlineStr">
        <is>
          <t>Bajaj OON 66H</t>
        </is>
      </c>
      <c r="D917" t="inlineStr">
        <is>
          <t>OON66H</t>
        </is>
      </c>
      <c r="H917" t="n">
        <v>240000</v>
      </c>
      <c r="I917" t="n">
        <v>240000</v>
      </c>
      <c r="J917" t="inlineStr">
        <is>
          <t>efectivo</t>
        </is>
      </c>
    </row>
    <row r="918">
      <c r="A918" s="3" t="n">
        <v>46219</v>
      </c>
      <c r="B918" t="inlineStr">
        <is>
          <t>Gustavo Primo</t>
        </is>
      </c>
      <c r="C918" t="inlineStr">
        <is>
          <t>Bajaj OON 66H</t>
        </is>
      </c>
      <c r="D918" t="inlineStr">
        <is>
          <t>OON66H</t>
        </is>
      </c>
      <c r="H918" t="n">
        <v>240000</v>
      </c>
      <c r="I918" t="n">
        <v>240000</v>
      </c>
      <c r="J918" t="inlineStr">
        <is>
          <t>efectivo</t>
        </is>
      </c>
    </row>
    <row r="919">
      <c r="A919" s="3" t="n">
        <v>45872</v>
      </c>
      <c r="B919" t="inlineStr">
        <is>
          <t>Erzik</t>
        </is>
      </c>
      <c r="C919" t="inlineStr">
        <is>
          <t>Bajaj OUN 39H</t>
        </is>
      </c>
      <c r="D919" t="inlineStr">
        <is>
          <t>OUN39H</t>
        </is>
      </c>
      <c r="H919" t="n">
        <v>384000</v>
      </c>
      <c r="I919" t="n">
        <v>384000</v>
      </c>
      <c r="J919" t="inlineStr">
        <is>
          <t>efectivo</t>
        </is>
      </c>
    </row>
    <row r="920">
      <c r="A920" s="3" t="n">
        <v>45907</v>
      </c>
      <c r="B920" t="inlineStr">
        <is>
          <t>Erzik</t>
        </is>
      </c>
      <c r="C920" t="inlineStr">
        <is>
          <t>Bajaj OUN 39H</t>
        </is>
      </c>
      <c r="D920" t="inlineStr">
        <is>
          <t>OUN39H</t>
        </is>
      </c>
      <c r="H920" t="n">
        <v>384000</v>
      </c>
      <c r="I920" t="n">
        <v>384000</v>
      </c>
      <c r="J920" t="inlineStr">
        <is>
          <t>efectivo</t>
        </is>
      </c>
    </row>
    <row r="921">
      <c r="A921" s="3" t="n">
        <v>45935</v>
      </c>
      <c r="B921" t="inlineStr">
        <is>
          <t>Erzik</t>
        </is>
      </c>
      <c r="C921" t="inlineStr">
        <is>
          <t>Bajaj OUN 39H</t>
        </is>
      </c>
      <c r="D921" t="inlineStr">
        <is>
          <t>OUN39H</t>
        </is>
      </c>
      <c r="H921" t="n">
        <v>384000</v>
      </c>
      <c r="I921" t="n">
        <v>384000</v>
      </c>
      <c r="J921" t="inlineStr">
        <is>
          <t>efectivo</t>
        </is>
      </c>
    </row>
    <row r="922">
      <c r="A922" s="3" t="n">
        <v>45969</v>
      </c>
      <c r="B922" t="inlineStr">
        <is>
          <t>Erzik</t>
        </is>
      </c>
      <c r="C922" t="inlineStr">
        <is>
          <t>Bajaj OUN 39H</t>
        </is>
      </c>
      <c r="D922" t="inlineStr">
        <is>
          <t>OUN39H</t>
        </is>
      </c>
      <c r="H922" t="n">
        <v>384000</v>
      </c>
      <c r="I922" t="n">
        <v>384000</v>
      </c>
      <c r="J922" t="inlineStr">
        <is>
          <t>efectivo</t>
        </is>
      </c>
    </row>
    <row r="923">
      <c r="A923" s="3" t="n">
        <v>45995</v>
      </c>
      <c r="B923" t="inlineStr">
        <is>
          <t>Erzik</t>
        </is>
      </c>
      <c r="C923" t="inlineStr">
        <is>
          <t>Bajaj OUN 39H</t>
        </is>
      </c>
      <c r="D923" t="inlineStr">
        <is>
          <t>OUN39H</t>
        </is>
      </c>
      <c r="H923" t="n">
        <v>384000</v>
      </c>
      <c r="I923" t="n">
        <v>384000</v>
      </c>
      <c r="J923" t="inlineStr">
        <is>
          <t>efectivo</t>
        </is>
      </c>
    </row>
    <row r="924">
      <c r="A924" s="3" t="n">
        <v>46031</v>
      </c>
      <c r="B924" t="inlineStr">
        <is>
          <t>Erzik</t>
        </is>
      </c>
      <c r="C924" t="inlineStr">
        <is>
          <t>Bajaj OUN 39H</t>
        </is>
      </c>
      <c r="D924" t="inlineStr">
        <is>
          <t>OUN39H</t>
        </is>
      </c>
      <c r="H924" t="n">
        <v>384000</v>
      </c>
      <c r="I924" t="n">
        <v>384000</v>
      </c>
      <c r="J924" t="inlineStr">
        <is>
          <t>efectivo</t>
        </is>
      </c>
    </row>
    <row r="925">
      <c r="A925" s="3" t="n">
        <v>46053</v>
      </c>
      <c r="B925" t="inlineStr">
        <is>
          <t>Erzik</t>
        </is>
      </c>
      <c r="C925" t="inlineStr">
        <is>
          <t>Bajaj OUN 39H</t>
        </is>
      </c>
      <c r="D925" t="inlineStr">
        <is>
          <t>OUN39H</t>
        </is>
      </c>
      <c r="H925" t="n">
        <v>384000</v>
      </c>
      <c r="I925" t="n">
        <v>384000</v>
      </c>
      <c r="J925" t="inlineStr">
        <is>
          <t>efectivo</t>
        </is>
      </c>
    </row>
    <row r="926">
      <c r="A926" s="3" t="n">
        <v>46063</v>
      </c>
      <c r="B926" t="inlineStr">
        <is>
          <t>Erzik</t>
        </is>
      </c>
      <c r="C926" t="inlineStr">
        <is>
          <t>Bajaj OUN 39H</t>
        </is>
      </c>
      <c r="D926" t="inlineStr">
        <is>
          <t>OUN39H</t>
        </is>
      </c>
      <c r="H926" t="n">
        <v>384000</v>
      </c>
      <c r="I926" t="n">
        <v>384000</v>
      </c>
      <c r="J926" t="inlineStr">
        <is>
          <t>efectivo</t>
        </is>
      </c>
    </row>
    <row r="927">
      <c r="A927" s="3" t="n">
        <v>46087</v>
      </c>
      <c r="B927" t="inlineStr">
        <is>
          <t>Erzik</t>
        </is>
      </c>
      <c r="C927" t="inlineStr">
        <is>
          <t>Bajaj OUN 39H</t>
        </is>
      </c>
      <c r="D927" t="inlineStr">
        <is>
          <t>OUN39H</t>
        </is>
      </c>
      <c r="H927" t="n">
        <v>384000</v>
      </c>
      <c r="I927" t="n">
        <v>384000</v>
      </c>
      <c r="J927" t="inlineStr">
        <is>
          <t>efectivo</t>
        </is>
      </c>
    </row>
    <row r="928">
      <c r="A928" s="3" t="n">
        <v>46095</v>
      </c>
      <c r="B928" t="inlineStr">
        <is>
          <t>Erzik</t>
        </is>
      </c>
      <c r="C928" t="inlineStr">
        <is>
          <t>Bajaj OUN 39H</t>
        </is>
      </c>
      <c r="D928" t="inlineStr">
        <is>
          <t>OUN39H</t>
        </is>
      </c>
      <c r="H928" t="n">
        <v>384000</v>
      </c>
      <c r="I928" t="n">
        <v>384000</v>
      </c>
      <c r="J928" t="inlineStr">
        <is>
          <t>efectivo</t>
        </is>
      </c>
    </row>
    <row r="929">
      <c r="A929" s="3" t="n">
        <v>46115</v>
      </c>
      <c r="B929" t="inlineStr">
        <is>
          <t>Erzik</t>
        </is>
      </c>
      <c r="C929" t="inlineStr">
        <is>
          <t>Bajaj OUN 39H</t>
        </is>
      </c>
      <c r="D929" t="inlineStr">
        <is>
          <t>OUN39H</t>
        </is>
      </c>
      <c r="H929" t="n">
        <v>384000</v>
      </c>
      <c r="I929" t="n">
        <v>384000</v>
      </c>
      <c r="J929" t="inlineStr">
        <is>
          <t>efectivo</t>
        </is>
      </c>
    </row>
    <row r="930">
      <c r="A930" s="3" t="n">
        <v>46145</v>
      </c>
      <c r="B930" t="inlineStr">
        <is>
          <t>Erzik</t>
        </is>
      </c>
      <c r="C930" t="inlineStr">
        <is>
          <t>Bajaj OUN 39H</t>
        </is>
      </c>
      <c r="D930" t="inlineStr">
        <is>
          <t>OUN39H</t>
        </is>
      </c>
      <c r="H930" t="n">
        <v>384000</v>
      </c>
      <c r="I930" t="n">
        <v>384000</v>
      </c>
      <c r="J930" t="inlineStr">
        <is>
          <t>efectivo</t>
        </is>
      </c>
    </row>
    <row r="931">
      <c r="A931" s="3" t="n">
        <v>46161</v>
      </c>
      <c r="B931" t="inlineStr">
        <is>
          <t>Erzik</t>
        </is>
      </c>
      <c r="C931" t="inlineStr">
        <is>
          <t>Bajaj OUN 39H</t>
        </is>
      </c>
      <c r="D931" t="inlineStr">
        <is>
          <t>OUN39H</t>
        </is>
      </c>
      <c r="H931" t="n">
        <v>384000</v>
      </c>
      <c r="I931" t="n">
        <v>384000</v>
      </c>
      <c r="J931" t="inlineStr">
        <is>
          <t>efectivo</t>
        </is>
      </c>
    </row>
    <row r="932">
      <c r="A932" s="3" t="n">
        <v>46178</v>
      </c>
      <c r="B932" t="inlineStr">
        <is>
          <t>Erzik</t>
        </is>
      </c>
      <c r="C932" t="inlineStr">
        <is>
          <t>Bajaj OUN 39H</t>
        </is>
      </c>
      <c r="D932" t="inlineStr">
        <is>
          <t>OUN39H</t>
        </is>
      </c>
      <c r="H932" t="n">
        <v>384000</v>
      </c>
      <c r="I932" t="n">
        <v>384000</v>
      </c>
      <c r="J932" t="inlineStr">
        <is>
          <t>efectivo</t>
        </is>
      </c>
    </row>
    <row r="933">
      <c r="A933" s="3" t="n">
        <v>46192</v>
      </c>
      <c r="B933" t="inlineStr">
        <is>
          <t>Erzik</t>
        </is>
      </c>
      <c r="C933" t="inlineStr">
        <is>
          <t>Bajaj OUN 39H</t>
        </is>
      </c>
      <c r="D933" t="inlineStr">
        <is>
          <t>OUN39H</t>
        </is>
      </c>
      <c r="H933" t="n">
        <v>384000</v>
      </c>
      <c r="I933" t="n">
        <v>384000</v>
      </c>
      <c r="J933" t="inlineStr">
        <is>
          <t>efectivo</t>
        </is>
      </c>
    </row>
    <row r="934">
      <c r="A934" s="3" t="n">
        <v>46206</v>
      </c>
      <c r="B934" t="inlineStr">
        <is>
          <t>Erzik</t>
        </is>
      </c>
      <c r="C934" t="inlineStr">
        <is>
          <t>Bajaj OUN 39H</t>
        </is>
      </c>
      <c r="D934" t="inlineStr">
        <is>
          <t>OUN39H</t>
        </is>
      </c>
      <c r="H934" t="n">
        <v>384000</v>
      </c>
      <c r="I934" t="n">
        <v>384000</v>
      </c>
      <c r="J934" t="inlineStr">
        <is>
          <t>efectivo</t>
        </is>
      </c>
    </row>
    <row r="935">
      <c r="A935" s="3" t="n">
        <v>46219</v>
      </c>
      <c r="B935" t="inlineStr">
        <is>
          <t>Erzik</t>
        </is>
      </c>
      <c r="C935" t="inlineStr">
        <is>
          <t>Bajaj OUN 39H</t>
        </is>
      </c>
      <c r="D935" t="inlineStr">
        <is>
          <t>OUN39H</t>
        </is>
      </c>
      <c r="H935" t="n">
        <v>384000</v>
      </c>
      <c r="I935" t="n">
        <v>384000</v>
      </c>
      <c r="J935" t="inlineStr">
        <is>
          <t>efectivo</t>
        </is>
      </c>
    </row>
    <row r="936">
      <c r="A936" s="3" t="n">
        <v>45902</v>
      </c>
      <c r="B936" t="inlineStr">
        <is>
          <t>Efrain</t>
        </is>
      </c>
      <c r="C936" t="inlineStr">
        <is>
          <t>Bajaj OTZ 01H</t>
        </is>
      </c>
      <c r="D936" t="inlineStr">
        <is>
          <t>OTZ01H</t>
        </is>
      </c>
      <c r="H936" t="n">
        <v>240000</v>
      </c>
      <c r="I936" t="n">
        <v>240000</v>
      </c>
      <c r="J936" t="inlineStr">
        <is>
          <t>efectivo</t>
        </is>
      </c>
    </row>
    <row r="937">
      <c r="A937" s="3" t="n">
        <v>45919</v>
      </c>
      <c r="B937" t="inlineStr">
        <is>
          <t>Efrain</t>
        </is>
      </c>
      <c r="C937" t="inlineStr">
        <is>
          <t>Bajaj OTZ 01H</t>
        </is>
      </c>
      <c r="D937" t="inlineStr">
        <is>
          <t>OTZ01H</t>
        </is>
      </c>
      <c r="H937" t="n">
        <v>240000</v>
      </c>
      <c r="I937" t="n">
        <v>240000</v>
      </c>
      <c r="J937" t="inlineStr">
        <is>
          <t>efectivo</t>
        </is>
      </c>
    </row>
    <row r="938">
      <c r="A938" s="3" t="n">
        <v>45926</v>
      </c>
      <c r="B938" t="inlineStr">
        <is>
          <t>Efrain</t>
        </is>
      </c>
      <c r="C938" t="inlineStr">
        <is>
          <t>Bajaj OTZ 01H</t>
        </is>
      </c>
      <c r="D938" t="inlineStr">
        <is>
          <t>OTZ01H</t>
        </is>
      </c>
      <c r="H938" t="n">
        <v>240000</v>
      </c>
      <c r="I938" t="n">
        <v>240000</v>
      </c>
      <c r="J938" t="inlineStr">
        <is>
          <t>efectivo</t>
        </is>
      </c>
    </row>
    <row r="939">
      <c r="A939" s="3" t="n">
        <v>45933</v>
      </c>
      <c r="B939" t="inlineStr">
        <is>
          <t>Efrain</t>
        </is>
      </c>
      <c r="C939" t="inlineStr">
        <is>
          <t>Bajaj OTZ 01H</t>
        </is>
      </c>
      <c r="D939" t="inlineStr">
        <is>
          <t>OTZ01H</t>
        </is>
      </c>
      <c r="H939" t="n">
        <v>240000</v>
      </c>
      <c r="I939" t="n">
        <v>240000</v>
      </c>
      <c r="J939" t="inlineStr">
        <is>
          <t>efectivo</t>
        </is>
      </c>
    </row>
    <row r="940">
      <c r="A940" s="3" t="n">
        <v>45940</v>
      </c>
      <c r="B940" t="inlineStr">
        <is>
          <t>Efrain</t>
        </is>
      </c>
      <c r="C940" t="inlineStr">
        <is>
          <t>Bajaj OTZ 01H</t>
        </is>
      </c>
      <c r="D940" t="inlineStr">
        <is>
          <t>OTZ01H</t>
        </is>
      </c>
      <c r="H940" t="n">
        <v>240000</v>
      </c>
      <c r="I940" t="n">
        <v>240000</v>
      </c>
      <c r="J940" t="inlineStr">
        <is>
          <t>efectivo</t>
        </is>
      </c>
    </row>
    <row r="941">
      <c r="A941" s="3" t="n">
        <v>45954</v>
      </c>
      <c r="B941" t="inlineStr">
        <is>
          <t>Efrain</t>
        </is>
      </c>
      <c r="C941" t="inlineStr">
        <is>
          <t>Bajaj OTZ 01H</t>
        </is>
      </c>
      <c r="D941" t="inlineStr">
        <is>
          <t>OTZ01H</t>
        </is>
      </c>
      <c r="H941" t="n">
        <v>240000</v>
      </c>
      <c r="I941" t="n">
        <v>240000</v>
      </c>
      <c r="J941" t="inlineStr">
        <is>
          <t>efectivo</t>
        </is>
      </c>
    </row>
    <row r="942">
      <c r="A942" s="3" t="n">
        <v>45965</v>
      </c>
      <c r="B942" t="inlineStr">
        <is>
          <t>Efrain</t>
        </is>
      </c>
      <c r="C942" t="inlineStr">
        <is>
          <t>Bajaj OTZ 01H</t>
        </is>
      </c>
      <c r="D942" t="inlineStr">
        <is>
          <t>OTZ01H</t>
        </is>
      </c>
      <c r="H942" t="n">
        <v>240000</v>
      </c>
      <c r="I942" t="n">
        <v>240000</v>
      </c>
      <c r="J942" t="inlineStr">
        <is>
          <t>efectivo</t>
        </is>
      </c>
    </row>
    <row r="943">
      <c r="A943" s="3" t="n">
        <v>45972</v>
      </c>
      <c r="B943" t="inlineStr">
        <is>
          <t>Efrain</t>
        </is>
      </c>
      <c r="C943" t="inlineStr">
        <is>
          <t>Bajaj OTZ 01H</t>
        </is>
      </c>
      <c r="D943" t="inlineStr">
        <is>
          <t>OTZ01H</t>
        </is>
      </c>
      <c r="H943" t="n">
        <v>240000</v>
      </c>
      <c r="I943" t="n">
        <v>240000</v>
      </c>
      <c r="J943" t="inlineStr">
        <is>
          <t>efectivo</t>
        </is>
      </c>
    </row>
    <row r="944">
      <c r="A944" s="3" t="n">
        <v>45984</v>
      </c>
      <c r="B944" t="inlineStr">
        <is>
          <t>Efrain</t>
        </is>
      </c>
      <c r="C944" t="inlineStr">
        <is>
          <t>Bajaj OTZ 01H</t>
        </is>
      </c>
      <c r="D944" t="inlineStr">
        <is>
          <t>OTZ01H</t>
        </is>
      </c>
      <c r="H944" t="n">
        <v>240000</v>
      </c>
      <c r="I944" t="n">
        <v>240000</v>
      </c>
      <c r="J944" t="inlineStr">
        <is>
          <t>efectivo</t>
        </is>
      </c>
    </row>
    <row r="945">
      <c r="A945" s="3" t="n">
        <v>45996</v>
      </c>
      <c r="B945" t="inlineStr">
        <is>
          <t>Efrain</t>
        </is>
      </c>
      <c r="C945" t="inlineStr">
        <is>
          <t>Bajaj OTZ 01H</t>
        </is>
      </c>
      <c r="D945" t="inlineStr">
        <is>
          <t>OTZ01H</t>
        </is>
      </c>
      <c r="H945" t="n">
        <v>240000</v>
      </c>
      <c r="I945" t="n">
        <v>240000</v>
      </c>
      <c r="J945" t="inlineStr">
        <is>
          <t>efectivo</t>
        </is>
      </c>
    </row>
    <row r="946">
      <c r="A946" s="3" t="n">
        <v>46003</v>
      </c>
      <c r="B946" t="inlineStr">
        <is>
          <t>Efrain</t>
        </is>
      </c>
      <c r="C946" t="inlineStr">
        <is>
          <t>Bajaj OTZ 01H</t>
        </is>
      </c>
      <c r="D946" t="inlineStr">
        <is>
          <t>OTZ01H</t>
        </is>
      </c>
      <c r="H946" t="n">
        <v>240000</v>
      </c>
      <c r="I946" t="n">
        <v>240000</v>
      </c>
      <c r="J946" t="inlineStr">
        <is>
          <t>efectivo</t>
        </is>
      </c>
    </row>
    <row r="947">
      <c r="A947" s="3" t="n">
        <v>46014</v>
      </c>
      <c r="B947" t="inlineStr">
        <is>
          <t>Efrain</t>
        </is>
      </c>
      <c r="C947" t="inlineStr">
        <is>
          <t>Bajaj OTZ 01H</t>
        </is>
      </c>
      <c r="D947" t="inlineStr">
        <is>
          <t>OTZ01H</t>
        </is>
      </c>
      <c r="H947" t="n">
        <v>240000</v>
      </c>
      <c r="I947" t="n">
        <v>240000</v>
      </c>
      <c r="J947" t="inlineStr">
        <is>
          <t>efectivo</t>
        </is>
      </c>
    </row>
    <row r="948">
      <c r="A948" s="3" t="n">
        <v>46034</v>
      </c>
      <c r="B948" t="inlineStr">
        <is>
          <t>Efrain</t>
        </is>
      </c>
      <c r="C948" t="inlineStr">
        <is>
          <t>Bajaj OTZ 01H</t>
        </is>
      </c>
      <c r="D948" t="inlineStr">
        <is>
          <t>OTZ01H</t>
        </is>
      </c>
      <c r="H948" t="n">
        <v>240000</v>
      </c>
      <c r="I948" t="n">
        <v>240000</v>
      </c>
      <c r="J948" t="inlineStr">
        <is>
          <t>efectivo</t>
        </is>
      </c>
    </row>
    <row r="949">
      <c r="A949" s="3" t="n">
        <v>46053</v>
      </c>
      <c r="B949" t="inlineStr">
        <is>
          <t>Efrain</t>
        </is>
      </c>
      <c r="C949" t="inlineStr">
        <is>
          <t>Bajaj OTZ 01H</t>
        </is>
      </c>
      <c r="D949" t="inlineStr">
        <is>
          <t>OTZ01H</t>
        </is>
      </c>
      <c r="H949" t="n">
        <v>240000</v>
      </c>
      <c r="I949" t="n">
        <v>240000</v>
      </c>
      <c r="J949" t="inlineStr">
        <is>
          <t>efectivo</t>
        </is>
      </c>
    </row>
    <row r="950">
      <c r="A950" s="3" t="n">
        <v>46065</v>
      </c>
      <c r="B950" t="inlineStr">
        <is>
          <t>Efrain</t>
        </is>
      </c>
      <c r="C950" t="inlineStr">
        <is>
          <t>Bajaj OTZ 01H</t>
        </is>
      </c>
      <c r="D950" t="inlineStr">
        <is>
          <t>OTZ01H</t>
        </is>
      </c>
      <c r="H950" t="n">
        <v>240000</v>
      </c>
      <c r="I950" t="n">
        <v>240000</v>
      </c>
      <c r="J950" t="inlineStr">
        <is>
          <t>efectivo</t>
        </is>
      </c>
    </row>
    <row r="951">
      <c r="A951" s="3" t="n">
        <v>46088</v>
      </c>
      <c r="B951" t="inlineStr">
        <is>
          <t>Efrain</t>
        </is>
      </c>
      <c r="C951" t="inlineStr">
        <is>
          <t>Bajaj OTZ 01H</t>
        </is>
      </c>
      <c r="D951" t="inlineStr">
        <is>
          <t>OTZ01H</t>
        </is>
      </c>
      <c r="H951" t="n">
        <v>240000</v>
      </c>
      <c r="I951" t="n">
        <v>240000</v>
      </c>
      <c r="J951" t="inlineStr">
        <is>
          <t>efectivo</t>
        </is>
      </c>
    </row>
    <row r="952">
      <c r="A952" s="3" t="n">
        <v>46101</v>
      </c>
      <c r="B952" t="inlineStr">
        <is>
          <t>Efrain</t>
        </is>
      </c>
      <c r="C952" t="inlineStr">
        <is>
          <t>Bajaj OTZ 01H</t>
        </is>
      </c>
      <c r="D952" t="inlineStr">
        <is>
          <t>OTZ01H</t>
        </is>
      </c>
      <c r="H952" t="n">
        <v>240000</v>
      </c>
      <c r="I952" t="n">
        <v>240000</v>
      </c>
      <c r="J952" t="inlineStr">
        <is>
          <t>efectivo</t>
        </is>
      </c>
    </row>
    <row r="953">
      <c r="A953" s="3" t="n">
        <v>46122</v>
      </c>
      <c r="B953" t="inlineStr">
        <is>
          <t>Efrain</t>
        </is>
      </c>
      <c r="C953" t="inlineStr">
        <is>
          <t>Bajaj OTZ 01H</t>
        </is>
      </c>
      <c r="D953" t="inlineStr">
        <is>
          <t>OTZ01H</t>
        </is>
      </c>
      <c r="H953" t="n">
        <v>240000</v>
      </c>
      <c r="I953" t="n">
        <v>240000</v>
      </c>
      <c r="J953" t="inlineStr">
        <is>
          <t>efectivo</t>
        </is>
      </c>
    </row>
    <row r="954">
      <c r="A954" s="3" t="n">
        <v>46143</v>
      </c>
      <c r="B954" t="inlineStr">
        <is>
          <t>Efrain</t>
        </is>
      </c>
      <c r="C954" t="inlineStr">
        <is>
          <t>Bajaj OTZ 01H</t>
        </is>
      </c>
      <c r="D954" t="inlineStr">
        <is>
          <t>OTZ01H</t>
        </is>
      </c>
      <c r="H954" t="n">
        <v>240000</v>
      </c>
      <c r="I954" t="n">
        <v>240000</v>
      </c>
      <c r="J954" t="inlineStr">
        <is>
          <t>efectivo</t>
        </is>
      </c>
    </row>
    <row r="955">
      <c r="A955" s="3" t="n">
        <v>46162</v>
      </c>
      <c r="B955" t="inlineStr">
        <is>
          <t>Efrain</t>
        </is>
      </c>
      <c r="C955" t="inlineStr">
        <is>
          <t>Bajaj OTZ 01H</t>
        </is>
      </c>
      <c r="D955" t="inlineStr">
        <is>
          <t>OTZ01H</t>
        </is>
      </c>
      <c r="H955" t="n">
        <v>240000</v>
      </c>
      <c r="I955" t="n">
        <v>240000</v>
      </c>
      <c r="J955" t="inlineStr">
        <is>
          <t>efectivo</t>
        </is>
      </c>
    </row>
    <row r="956">
      <c r="A956" s="3" t="n">
        <v>46198</v>
      </c>
      <c r="B956" t="inlineStr">
        <is>
          <t>Efrain</t>
        </is>
      </c>
      <c r="C956" t="inlineStr">
        <is>
          <t>Bajaj OTZ 01H</t>
        </is>
      </c>
      <c r="D956" t="inlineStr">
        <is>
          <t>OTZ01H</t>
        </is>
      </c>
      <c r="H956" t="n">
        <v>240000</v>
      </c>
      <c r="I956" t="n">
        <v>240000</v>
      </c>
      <c r="J956" t="inlineStr">
        <is>
          <t>efectivo</t>
        </is>
      </c>
    </row>
    <row r="957">
      <c r="A957" s="3" t="n">
        <v>46225</v>
      </c>
      <c r="B957" t="inlineStr">
        <is>
          <t>Efrain</t>
        </is>
      </c>
      <c r="C957" t="inlineStr">
        <is>
          <t>Bajaj OTZ 01H</t>
        </is>
      </c>
      <c r="D957" t="inlineStr">
        <is>
          <t>OTZ01H</t>
        </is>
      </c>
      <c r="H957" t="n">
        <v>240000</v>
      </c>
      <c r="I957" t="n">
        <v>240000</v>
      </c>
      <c r="J957" t="inlineStr">
        <is>
          <t>efectivo</t>
        </is>
      </c>
    </row>
    <row r="958">
      <c r="A958" s="3" t="n">
        <v>45923</v>
      </c>
      <c r="B958" t="inlineStr">
        <is>
          <t>Gonzado Estherline</t>
        </is>
      </c>
      <c r="C958" t="inlineStr">
        <is>
          <t>Bajaj OUB 81H</t>
        </is>
      </c>
      <c r="D958" t="inlineStr">
        <is>
          <t>OUB81H</t>
        </is>
      </c>
      <c r="H958" t="n">
        <v>240000</v>
      </c>
      <c r="I958" t="n">
        <v>240000</v>
      </c>
      <c r="J958" t="inlineStr">
        <is>
          <t>efectivo</t>
        </is>
      </c>
    </row>
    <row r="959">
      <c r="A959" s="3" t="n">
        <v>45930</v>
      </c>
      <c r="B959" t="inlineStr">
        <is>
          <t>Gonzado Estherline</t>
        </is>
      </c>
      <c r="C959" t="inlineStr">
        <is>
          <t>Bajaj OUB 81H</t>
        </is>
      </c>
      <c r="D959" t="inlineStr">
        <is>
          <t>OUB81H</t>
        </is>
      </c>
      <c r="H959" t="n">
        <v>240000</v>
      </c>
      <c r="I959" t="n">
        <v>240000</v>
      </c>
      <c r="J959" t="inlineStr">
        <is>
          <t>efectivo</t>
        </is>
      </c>
    </row>
    <row r="960">
      <c r="A960" s="3" t="n">
        <v>45937</v>
      </c>
      <c r="B960" t="inlineStr">
        <is>
          <t>Gonzado Estherline</t>
        </is>
      </c>
      <c r="C960" t="inlineStr">
        <is>
          <t>Bajaj OUB 81H</t>
        </is>
      </c>
      <c r="D960" t="inlineStr">
        <is>
          <t>OUB81H</t>
        </is>
      </c>
      <c r="H960" t="n">
        <v>240000</v>
      </c>
      <c r="I960" t="n">
        <v>240000</v>
      </c>
      <c r="J960" t="inlineStr">
        <is>
          <t>efectivo</t>
        </is>
      </c>
    </row>
    <row r="961">
      <c r="A961" s="3" t="n">
        <v>45944</v>
      </c>
      <c r="B961" t="inlineStr">
        <is>
          <t>Gonzado Estherline</t>
        </is>
      </c>
      <c r="C961" t="inlineStr">
        <is>
          <t>Bajaj OUB 81H</t>
        </is>
      </c>
      <c r="D961" t="inlineStr">
        <is>
          <t>OUB81H</t>
        </is>
      </c>
      <c r="H961" t="n">
        <v>240000</v>
      </c>
      <c r="I961" t="n">
        <v>240000</v>
      </c>
      <c r="J961" t="inlineStr">
        <is>
          <t>efectivo</t>
        </is>
      </c>
    </row>
    <row r="962">
      <c r="A962" s="3" t="n">
        <v>45951</v>
      </c>
      <c r="B962" t="inlineStr">
        <is>
          <t>Gonzado Estherline</t>
        </is>
      </c>
      <c r="C962" t="inlineStr">
        <is>
          <t>Bajaj OUB 81H</t>
        </is>
      </c>
      <c r="D962" t="inlineStr">
        <is>
          <t>OUB81H</t>
        </is>
      </c>
      <c r="H962" t="n">
        <v>240000</v>
      </c>
      <c r="I962" t="n">
        <v>240000</v>
      </c>
      <c r="J962" t="inlineStr">
        <is>
          <t>efectivo</t>
        </is>
      </c>
    </row>
    <row r="963">
      <c r="A963" s="3" t="n">
        <v>45958</v>
      </c>
      <c r="B963" t="inlineStr">
        <is>
          <t>Gonzado Estherline</t>
        </is>
      </c>
      <c r="C963" t="inlineStr">
        <is>
          <t>Bajaj OUB 81H</t>
        </is>
      </c>
      <c r="D963" t="inlineStr">
        <is>
          <t>OUB81H</t>
        </is>
      </c>
      <c r="H963" t="n">
        <v>240000</v>
      </c>
      <c r="I963" t="n">
        <v>240000</v>
      </c>
      <c r="J963" t="inlineStr">
        <is>
          <t>efectivo</t>
        </is>
      </c>
    </row>
    <row r="964">
      <c r="A964" s="3" t="n">
        <v>45965</v>
      </c>
      <c r="B964" t="inlineStr">
        <is>
          <t>Gonzado Estherline</t>
        </is>
      </c>
      <c r="C964" t="inlineStr">
        <is>
          <t>Bajaj OUB 81H</t>
        </is>
      </c>
      <c r="D964" t="inlineStr">
        <is>
          <t>OUB81H</t>
        </is>
      </c>
      <c r="H964" t="n">
        <v>240000</v>
      </c>
      <c r="I964" t="n">
        <v>240000</v>
      </c>
      <c r="J964" t="inlineStr">
        <is>
          <t>efectivo</t>
        </is>
      </c>
    </row>
    <row r="965">
      <c r="A965" s="3" t="n">
        <v>45972</v>
      </c>
      <c r="B965" t="inlineStr">
        <is>
          <t>Gonzado Estherline</t>
        </is>
      </c>
      <c r="C965" t="inlineStr">
        <is>
          <t>Bajaj OUB 81H</t>
        </is>
      </c>
      <c r="D965" t="inlineStr">
        <is>
          <t>OUB81H</t>
        </is>
      </c>
      <c r="H965" t="n">
        <v>240000</v>
      </c>
      <c r="I965" t="n">
        <v>240000</v>
      </c>
      <c r="J965" t="inlineStr">
        <is>
          <t>efectivo</t>
        </is>
      </c>
    </row>
    <row r="966">
      <c r="A966" s="3" t="n">
        <v>45979</v>
      </c>
      <c r="B966" t="inlineStr">
        <is>
          <t>Gonzado Estherline</t>
        </is>
      </c>
      <c r="C966" t="inlineStr">
        <is>
          <t>Bajaj OUB 81H</t>
        </is>
      </c>
      <c r="D966" t="inlineStr">
        <is>
          <t>OUB81H</t>
        </is>
      </c>
      <c r="H966" t="n">
        <v>240000</v>
      </c>
      <c r="I966" t="n">
        <v>240000</v>
      </c>
      <c r="J966" t="inlineStr">
        <is>
          <t>efectivo</t>
        </is>
      </c>
    </row>
    <row r="967">
      <c r="A967" s="3" t="n">
        <v>45986</v>
      </c>
      <c r="B967" t="inlineStr">
        <is>
          <t>Gonzado Estherline</t>
        </is>
      </c>
      <c r="C967" t="inlineStr">
        <is>
          <t>Bajaj OUB 81H</t>
        </is>
      </c>
      <c r="D967" t="inlineStr">
        <is>
          <t>OUB81H</t>
        </is>
      </c>
      <c r="H967" t="n">
        <v>240000</v>
      </c>
      <c r="I967" t="n">
        <v>240000</v>
      </c>
      <c r="J967" t="inlineStr">
        <is>
          <t>efectivo</t>
        </is>
      </c>
    </row>
    <row r="968">
      <c r="A968" s="3" t="n">
        <v>45993</v>
      </c>
      <c r="B968" t="inlineStr">
        <is>
          <t>Gonzado Estherline</t>
        </is>
      </c>
      <c r="C968" t="inlineStr">
        <is>
          <t>Bajaj OUB 81H</t>
        </is>
      </c>
      <c r="D968" t="inlineStr">
        <is>
          <t>OUB81H</t>
        </is>
      </c>
      <c r="H968" t="n">
        <v>240000</v>
      </c>
      <c r="I968" t="n">
        <v>240000</v>
      </c>
      <c r="J968" t="inlineStr">
        <is>
          <t>efectivo</t>
        </is>
      </c>
    </row>
    <row r="969">
      <c r="A969" s="3" t="n">
        <v>46000</v>
      </c>
      <c r="B969" t="inlineStr">
        <is>
          <t>Gonzado Estherline</t>
        </is>
      </c>
      <c r="C969" t="inlineStr">
        <is>
          <t>Bajaj OUB 81H</t>
        </is>
      </c>
      <c r="D969" t="inlineStr">
        <is>
          <t>OUB81H</t>
        </is>
      </c>
      <c r="H969" t="n">
        <v>240000</v>
      </c>
      <c r="I969" t="n">
        <v>240000</v>
      </c>
      <c r="J969" t="inlineStr">
        <is>
          <t>efectivo</t>
        </is>
      </c>
    </row>
    <row r="970">
      <c r="A970" s="3" t="n">
        <v>46007</v>
      </c>
      <c r="B970" t="inlineStr">
        <is>
          <t>Gonzado Estherline</t>
        </is>
      </c>
      <c r="C970" t="inlineStr">
        <is>
          <t>Bajaj OUB 81H</t>
        </is>
      </c>
      <c r="D970" t="inlineStr">
        <is>
          <t>OUB81H</t>
        </is>
      </c>
      <c r="H970" t="n">
        <v>240000</v>
      </c>
      <c r="I970" t="n">
        <v>240000</v>
      </c>
      <c r="J970" t="inlineStr">
        <is>
          <t>efectivo</t>
        </is>
      </c>
    </row>
    <row r="971">
      <c r="A971" s="3" t="n">
        <v>46014</v>
      </c>
      <c r="B971" t="inlineStr">
        <is>
          <t>Gonzado Estherline</t>
        </is>
      </c>
      <c r="C971" t="inlineStr">
        <is>
          <t>Bajaj OUB 81H</t>
        </is>
      </c>
      <c r="D971" t="inlineStr">
        <is>
          <t>OUB81H</t>
        </is>
      </c>
      <c r="H971" t="n">
        <v>240000</v>
      </c>
      <c r="I971" t="n">
        <v>240000</v>
      </c>
      <c r="J971" t="inlineStr">
        <is>
          <t>efectivo</t>
        </is>
      </c>
    </row>
    <row r="972">
      <c r="A972" s="3" t="n">
        <v>46021</v>
      </c>
      <c r="B972" t="inlineStr">
        <is>
          <t>Gonzado Estherline</t>
        </is>
      </c>
      <c r="C972" t="inlineStr">
        <is>
          <t>Bajaj OUB 81H</t>
        </is>
      </c>
      <c r="D972" t="inlineStr">
        <is>
          <t>OUB81H</t>
        </is>
      </c>
      <c r="H972" t="n">
        <v>240000</v>
      </c>
      <c r="I972" t="n">
        <v>240000</v>
      </c>
      <c r="J972" t="inlineStr">
        <is>
          <t>efectivo</t>
        </is>
      </c>
    </row>
    <row r="973">
      <c r="A973" s="3" t="n">
        <v>46028</v>
      </c>
      <c r="B973" t="inlineStr">
        <is>
          <t>Gonzado Estherline</t>
        </is>
      </c>
      <c r="C973" t="inlineStr">
        <is>
          <t>Bajaj OUB 81H</t>
        </is>
      </c>
      <c r="D973" t="inlineStr">
        <is>
          <t>OUB81H</t>
        </is>
      </c>
      <c r="H973" t="n">
        <v>240000</v>
      </c>
      <c r="I973" t="n">
        <v>240000</v>
      </c>
      <c r="J973" t="inlineStr">
        <is>
          <t>efectivo</t>
        </is>
      </c>
    </row>
    <row r="974">
      <c r="A974" s="3" t="n">
        <v>46035</v>
      </c>
      <c r="B974" t="inlineStr">
        <is>
          <t>Gonzado Estherline</t>
        </is>
      </c>
      <c r="C974" t="inlineStr">
        <is>
          <t>Bajaj OUB 81H</t>
        </is>
      </c>
      <c r="D974" t="inlineStr">
        <is>
          <t>OUB81H</t>
        </is>
      </c>
      <c r="H974" t="n">
        <v>240000</v>
      </c>
      <c r="I974" t="n">
        <v>240000</v>
      </c>
      <c r="J974" t="inlineStr">
        <is>
          <t>efectivo</t>
        </is>
      </c>
    </row>
    <row r="975">
      <c r="A975" s="3" t="n">
        <v>46042</v>
      </c>
      <c r="B975" t="inlineStr">
        <is>
          <t>Gonzado Estherline</t>
        </is>
      </c>
      <c r="C975" t="inlineStr">
        <is>
          <t>Bajaj OUB 81H</t>
        </is>
      </c>
      <c r="D975" t="inlineStr">
        <is>
          <t>OUB81H</t>
        </is>
      </c>
      <c r="H975" t="n">
        <v>240000</v>
      </c>
      <c r="I975" t="n">
        <v>240000</v>
      </c>
      <c r="J975" t="inlineStr">
        <is>
          <t>efectivo</t>
        </is>
      </c>
    </row>
    <row r="976">
      <c r="A976" s="3" t="n">
        <v>46049</v>
      </c>
      <c r="B976" t="inlineStr">
        <is>
          <t>Gonzado Estherline</t>
        </is>
      </c>
      <c r="C976" t="inlineStr">
        <is>
          <t>Bajaj OUB 81H</t>
        </is>
      </c>
      <c r="D976" t="inlineStr">
        <is>
          <t>OUB81H</t>
        </is>
      </c>
      <c r="H976" t="n">
        <v>240000</v>
      </c>
      <c r="I976" t="n">
        <v>240000</v>
      </c>
      <c r="J976" t="inlineStr">
        <is>
          <t>efectivo</t>
        </is>
      </c>
    </row>
    <row r="977">
      <c r="A977" s="3" t="n">
        <v>46056</v>
      </c>
      <c r="B977" t="inlineStr">
        <is>
          <t>Gonzado Estherline</t>
        </is>
      </c>
      <c r="C977" t="inlineStr">
        <is>
          <t>Bajaj OUB 81H</t>
        </is>
      </c>
      <c r="D977" t="inlineStr">
        <is>
          <t>OUB81H</t>
        </is>
      </c>
      <c r="H977" t="n">
        <v>240000</v>
      </c>
      <c r="I977" t="n">
        <v>240000</v>
      </c>
      <c r="J977" t="inlineStr">
        <is>
          <t>efectivo</t>
        </is>
      </c>
    </row>
    <row r="978">
      <c r="A978" s="3" t="n">
        <v>46063</v>
      </c>
      <c r="B978" t="inlineStr">
        <is>
          <t>Gonzado Estherline</t>
        </is>
      </c>
      <c r="C978" t="inlineStr">
        <is>
          <t>Bajaj OUB 81H</t>
        </is>
      </c>
      <c r="D978" t="inlineStr">
        <is>
          <t>OUB81H</t>
        </is>
      </c>
      <c r="H978" t="n">
        <v>240000</v>
      </c>
      <c r="I978" t="n">
        <v>240000</v>
      </c>
      <c r="J978" t="inlineStr">
        <is>
          <t>efectivo</t>
        </is>
      </c>
    </row>
    <row r="979">
      <c r="A979" s="3" t="n">
        <v>46070</v>
      </c>
      <c r="B979" t="inlineStr">
        <is>
          <t>Gonzado Estherline</t>
        </is>
      </c>
      <c r="C979" t="inlineStr">
        <is>
          <t>Bajaj OUB 81H</t>
        </is>
      </c>
      <c r="D979" t="inlineStr">
        <is>
          <t>OUB81H</t>
        </is>
      </c>
      <c r="H979" t="n">
        <v>240000</v>
      </c>
      <c r="I979" t="n">
        <v>240000</v>
      </c>
      <c r="J979" t="inlineStr">
        <is>
          <t>efectivo</t>
        </is>
      </c>
    </row>
    <row r="980">
      <c r="A980" s="3" t="n">
        <v>46077</v>
      </c>
      <c r="B980" t="inlineStr">
        <is>
          <t>Gonzado Estherline</t>
        </is>
      </c>
      <c r="C980" t="inlineStr">
        <is>
          <t>Bajaj OUB 81H</t>
        </is>
      </c>
      <c r="D980" t="inlineStr">
        <is>
          <t>OUB81H</t>
        </is>
      </c>
      <c r="H980" t="n">
        <v>240000</v>
      </c>
      <c r="I980" t="n">
        <v>240000</v>
      </c>
      <c r="J980" t="inlineStr">
        <is>
          <t>efectivo</t>
        </is>
      </c>
    </row>
    <row r="981">
      <c r="A981" s="3" t="n">
        <v>46084</v>
      </c>
      <c r="B981" t="inlineStr">
        <is>
          <t>Gonzado Estherline</t>
        </is>
      </c>
      <c r="C981" t="inlineStr">
        <is>
          <t>Bajaj OUB 81H</t>
        </is>
      </c>
      <c r="D981" t="inlineStr">
        <is>
          <t>OUB81H</t>
        </is>
      </c>
      <c r="H981" t="n">
        <v>240000</v>
      </c>
      <c r="I981" t="n">
        <v>240000</v>
      </c>
      <c r="J981" t="inlineStr">
        <is>
          <t>efectivo</t>
        </is>
      </c>
    </row>
    <row r="982">
      <c r="A982" s="3" t="n">
        <v>46091</v>
      </c>
      <c r="B982" t="inlineStr">
        <is>
          <t>Gonzado Estherline</t>
        </is>
      </c>
      <c r="C982" t="inlineStr">
        <is>
          <t>Bajaj OUB 81H</t>
        </is>
      </c>
      <c r="D982" t="inlineStr">
        <is>
          <t>OUB81H</t>
        </is>
      </c>
      <c r="H982" t="n">
        <v>240000</v>
      </c>
      <c r="I982" t="n">
        <v>240000</v>
      </c>
      <c r="J982" t="inlineStr">
        <is>
          <t>efectivo</t>
        </is>
      </c>
    </row>
    <row r="983">
      <c r="A983" s="3" t="n">
        <v>46098</v>
      </c>
      <c r="B983" t="inlineStr">
        <is>
          <t>Gonzado Estherline</t>
        </is>
      </c>
      <c r="C983" t="inlineStr">
        <is>
          <t>Bajaj OUB 81H</t>
        </is>
      </c>
      <c r="D983" t="inlineStr">
        <is>
          <t>OUB81H</t>
        </is>
      </c>
      <c r="H983" t="n">
        <v>240000</v>
      </c>
      <c r="I983" t="n">
        <v>240000</v>
      </c>
      <c r="J983" t="inlineStr">
        <is>
          <t>efectivo</t>
        </is>
      </c>
    </row>
    <row r="984">
      <c r="A984" s="3" t="n">
        <v>46105</v>
      </c>
      <c r="B984" t="inlineStr">
        <is>
          <t>Gonzado Estherline</t>
        </is>
      </c>
      <c r="C984" t="inlineStr">
        <is>
          <t>Bajaj OUB 81H</t>
        </is>
      </c>
      <c r="D984" t="inlineStr">
        <is>
          <t>OUB81H</t>
        </is>
      </c>
      <c r="H984" t="n">
        <v>240000</v>
      </c>
      <c r="I984" t="n">
        <v>240000</v>
      </c>
      <c r="J984" t="inlineStr">
        <is>
          <t>efectivo</t>
        </is>
      </c>
    </row>
    <row r="985">
      <c r="A985" s="3" t="n">
        <v>46112</v>
      </c>
      <c r="B985" t="inlineStr">
        <is>
          <t>Gonzado Estherline</t>
        </is>
      </c>
      <c r="C985" t="inlineStr">
        <is>
          <t>Bajaj OUB 81H</t>
        </is>
      </c>
      <c r="D985" t="inlineStr">
        <is>
          <t>OUB81H</t>
        </is>
      </c>
      <c r="H985" t="n">
        <v>240000</v>
      </c>
      <c r="I985" t="n">
        <v>240000</v>
      </c>
      <c r="J985" t="inlineStr">
        <is>
          <t>efectivo</t>
        </is>
      </c>
    </row>
    <row r="986">
      <c r="A986" s="3" t="n">
        <v>46119</v>
      </c>
      <c r="B986" t="inlineStr">
        <is>
          <t>Gonzado Estherline</t>
        </is>
      </c>
      <c r="C986" t="inlineStr">
        <is>
          <t>Bajaj OUB 81H</t>
        </is>
      </c>
      <c r="D986" t="inlineStr">
        <is>
          <t>OUB81H</t>
        </is>
      </c>
      <c r="H986" t="n">
        <v>240000</v>
      </c>
      <c r="I986" t="n">
        <v>240000</v>
      </c>
      <c r="J986" t="inlineStr">
        <is>
          <t>efectivo</t>
        </is>
      </c>
    </row>
    <row r="987">
      <c r="A987" s="3" t="n">
        <v>46126</v>
      </c>
      <c r="B987" t="inlineStr">
        <is>
          <t>Gonzado Estherline</t>
        </is>
      </c>
      <c r="C987" t="inlineStr">
        <is>
          <t>Bajaj OUB 81H</t>
        </is>
      </c>
      <c r="D987" t="inlineStr">
        <is>
          <t>OUB81H</t>
        </is>
      </c>
      <c r="H987" t="n">
        <v>240000</v>
      </c>
      <c r="I987" t="n">
        <v>240000</v>
      </c>
      <c r="J987" t="inlineStr">
        <is>
          <t>efectivo</t>
        </is>
      </c>
    </row>
    <row r="988">
      <c r="A988" s="3" t="n">
        <v>46143</v>
      </c>
      <c r="B988" t="inlineStr">
        <is>
          <t>Gonzado Estherline</t>
        </is>
      </c>
      <c r="C988" t="inlineStr">
        <is>
          <t>Bajaj OUB 81H</t>
        </is>
      </c>
      <c r="D988" t="inlineStr">
        <is>
          <t>OUB81H</t>
        </is>
      </c>
      <c r="H988" t="n">
        <v>240000</v>
      </c>
      <c r="I988" t="n">
        <v>240000</v>
      </c>
      <c r="J988" t="inlineStr">
        <is>
          <t>efectivo</t>
        </is>
      </c>
    </row>
    <row r="989">
      <c r="A989" s="3" t="n">
        <v>46165</v>
      </c>
      <c r="B989" t="inlineStr">
        <is>
          <t>Gonzado Estherline</t>
        </is>
      </c>
      <c r="C989" t="inlineStr">
        <is>
          <t>Bajaj OUB 81H</t>
        </is>
      </c>
      <c r="D989" t="inlineStr">
        <is>
          <t>OUB81H</t>
        </is>
      </c>
      <c r="H989" t="n">
        <v>240000</v>
      </c>
      <c r="I989" t="n">
        <v>240000</v>
      </c>
      <c r="J989" t="inlineStr">
        <is>
          <t>efectivo</t>
        </is>
      </c>
    </row>
    <row r="990">
      <c r="A990" s="3" t="n">
        <v>46172</v>
      </c>
      <c r="B990" t="inlineStr">
        <is>
          <t>Gonzado Estherline</t>
        </is>
      </c>
      <c r="C990" t="inlineStr">
        <is>
          <t>Bajaj OUB 81H</t>
        </is>
      </c>
      <c r="D990" t="inlineStr">
        <is>
          <t>OUB81H</t>
        </is>
      </c>
      <c r="H990" t="n">
        <v>240000</v>
      </c>
      <c r="I990" t="n">
        <v>240000</v>
      </c>
      <c r="J990" t="inlineStr">
        <is>
          <t>efectivo</t>
        </is>
      </c>
    </row>
    <row r="991">
      <c r="A991" s="3" t="n">
        <v>46182</v>
      </c>
      <c r="B991" t="inlineStr">
        <is>
          <t>Gonzado Estherline</t>
        </is>
      </c>
      <c r="C991" t="inlineStr">
        <is>
          <t>Bajaj OUB 81H</t>
        </is>
      </c>
      <c r="D991" t="inlineStr">
        <is>
          <t>OUB81H</t>
        </is>
      </c>
      <c r="H991" t="n">
        <v>240000</v>
      </c>
      <c r="I991" t="n">
        <v>240000</v>
      </c>
      <c r="J991" t="inlineStr">
        <is>
          <t>efectivo</t>
        </is>
      </c>
    </row>
    <row r="992">
      <c r="A992" s="3" t="n">
        <v>46188</v>
      </c>
      <c r="B992" t="inlineStr">
        <is>
          <t>Gonzado Estherline</t>
        </is>
      </c>
      <c r="C992" t="inlineStr">
        <is>
          <t>Bajaj OUB 81H</t>
        </is>
      </c>
      <c r="D992" t="inlineStr">
        <is>
          <t>OUB81H</t>
        </is>
      </c>
      <c r="H992" t="n">
        <v>240000</v>
      </c>
      <c r="I992" t="n">
        <v>240000</v>
      </c>
      <c r="J992" t="inlineStr">
        <is>
          <t>efectivo</t>
        </is>
      </c>
    </row>
    <row r="993">
      <c r="A993" s="3" t="n">
        <v>46199</v>
      </c>
      <c r="B993" t="inlineStr">
        <is>
          <t>Gonzado Estherline</t>
        </is>
      </c>
      <c r="C993" t="inlineStr">
        <is>
          <t>Bajaj OUB 81H</t>
        </is>
      </c>
      <c r="D993" t="inlineStr">
        <is>
          <t>OUB81H</t>
        </is>
      </c>
      <c r="H993" t="n">
        <v>240000</v>
      </c>
      <c r="I993" t="n">
        <v>240000</v>
      </c>
      <c r="J993" t="inlineStr">
        <is>
          <t>efectivo</t>
        </is>
      </c>
    </row>
    <row r="994">
      <c r="A994" s="3" t="n">
        <v>46210</v>
      </c>
      <c r="B994" t="inlineStr">
        <is>
          <t>Gonzado Estherline</t>
        </is>
      </c>
      <c r="C994" t="inlineStr">
        <is>
          <t>Bajaj OUB 81H</t>
        </is>
      </c>
      <c r="D994" t="inlineStr">
        <is>
          <t>OUB81H</t>
        </is>
      </c>
      <c r="H994" t="n">
        <v>240000</v>
      </c>
      <c r="I994" t="n">
        <v>240000</v>
      </c>
      <c r="J994" t="inlineStr">
        <is>
          <t>efectivo</t>
        </is>
      </c>
    </row>
    <row r="995">
      <c r="A995" s="3" t="n">
        <v>46215</v>
      </c>
      <c r="B995" t="inlineStr">
        <is>
          <t>Gonzado Estherline</t>
        </is>
      </c>
      <c r="C995" t="inlineStr">
        <is>
          <t>Bajaj OUB 81H</t>
        </is>
      </c>
      <c r="D995" t="inlineStr">
        <is>
          <t>OUB81H</t>
        </is>
      </c>
      <c r="H995" t="n">
        <v>240000</v>
      </c>
      <c r="I995" t="n">
        <v>240000</v>
      </c>
      <c r="J995" t="inlineStr">
        <is>
          <t>efectivo</t>
        </is>
      </c>
    </row>
    <row r="996">
      <c r="A996" s="3" t="n">
        <v>46222</v>
      </c>
      <c r="B996" t="inlineStr">
        <is>
          <t>Gonzado Estherline</t>
        </is>
      </c>
      <c r="C996" t="inlineStr">
        <is>
          <t>Bajaj OUB 81H</t>
        </is>
      </c>
      <c r="D996" t="inlineStr">
        <is>
          <t>OUB81H</t>
        </is>
      </c>
      <c r="H996" t="n">
        <v>240000</v>
      </c>
      <c r="I996" t="n">
        <v>240000</v>
      </c>
      <c r="J996" t="inlineStr">
        <is>
          <t>efectivo</t>
        </is>
      </c>
    </row>
    <row r="997">
      <c r="A997" s="3" t="n">
        <v>46229</v>
      </c>
      <c r="B997" t="inlineStr">
        <is>
          <t>Gonzado Estherline</t>
        </is>
      </c>
      <c r="C997" t="inlineStr">
        <is>
          <t>Bajaj OUB 81H</t>
        </is>
      </c>
      <c r="D997" t="inlineStr">
        <is>
          <t>OUB81H</t>
        </is>
      </c>
      <c r="H997" t="n">
        <v>240000</v>
      </c>
      <c r="I997" t="n">
        <v>240000</v>
      </c>
      <c r="J997" t="inlineStr">
        <is>
          <t>efectivo</t>
        </is>
      </c>
    </row>
    <row r="998">
      <c r="A998" s="3" t="n">
        <v>46235</v>
      </c>
      <c r="B998" t="inlineStr">
        <is>
          <t>Gonzado Estherline</t>
        </is>
      </c>
      <c r="C998" t="inlineStr">
        <is>
          <t>Bajaj OUB 81H</t>
        </is>
      </c>
      <c r="D998" t="inlineStr">
        <is>
          <t>OUB81H</t>
        </is>
      </c>
      <c r="H998" t="n">
        <v>240000</v>
      </c>
      <c r="I998" t="n">
        <v>240000</v>
      </c>
      <c r="J998" t="inlineStr">
        <is>
          <t>efectivo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2"/>
  <sheetViews>
    <sheetView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32" customWidth="1" min="3" max="3"/>
    <col width="16" customWidth="1" min="4" max="4"/>
    <col width="16" customWidth="1" min="5" max="5"/>
    <col width="18" customWidth="1" min="6" max="6"/>
  </cols>
  <sheetData>
    <row r="1" ht="38" customHeight="1">
      <c r="A1" s="4" t="inlineStr">
        <is>
          <t>SIMULADOR DE CRÉDITO</t>
        </is>
      </c>
    </row>
    <row r="2" ht="8" customHeight="1"/>
    <row r="3" ht="24" customHeight="1">
      <c r="A3" s="5" t="inlineStr">
        <is>
          <t xml:space="preserve">  PARÁMETROS DE ENTRADA</t>
        </is>
      </c>
    </row>
    <row r="4" ht="24" customHeight="1">
      <c r="A4" s="6" t="inlineStr">
        <is>
          <t>Valor a Financiar  ($)</t>
        </is>
      </c>
      <c r="B4" s="7" t="n">
        <v>0</v>
      </c>
      <c r="C4" s="8" t="inlineStr">
        <is>
          <t>← escribe el monto que vas a prestar</t>
        </is>
      </c>
    </row>
    <row r="5" ht="24" customHeight="1">
      <c r="A5" s="6" t="inlineStr">
        <is>
          <t>Interés Mensual  (%)</t>
        </is>
      </c>
      <c r="B5" s="9" t="n">
        <v>0</v>
      </c>
      <c r="C5" s="8" t="inlineStr">
        <is>
          <t>← ej: 3.5  significa  3.5 % mensual</t>
        </is>
      </c>
    </row>
    <row r="6" ht="24" customHeight="1">
      <c r="A6" s="6" t="inlineStr">
        <is>
          <t>Interés Anual  (%)  —  automático</t>
        </is>
      </c>
      <c r="B6" s="10">
        <f>B5*12</f>
        <v/>
      </c>
      <c r="C6" s="8" t="inlineStr">
        <is>
          <t>← se calcula solo</t>
        </is>
      </c>
    </row>
    <row r="7" ht="24" customHeight="1">
      <c r="A7" s="6" t="inlineStr">
        <is>
          <t>Número de Cuotas  (meses)</t>
        </is>
      </c>
      <c r="B7" s="9" t="n">
        <v>0</v>
      </c>
      <c r="C7" s="8" t="inlineStr">
        <is>
          <t>← ej: 12, 24, 36, 64…</t>
        </is>
      </c>
    </row>
    <row r="8" ht="8" customHeight="1"/>
    <row r="9" ht="24" customHeight="1">
      <c r="A9" s="11" t="inlineStr">
        <is>
          <t xml:space="preserve">  RESULTADOS</t>
        </is>
      </c>
    </row>
    <row r="10" ht="26" customHeight="1">
      <c r="A10" s="12" t="inlineStr">
        <is>
          <t>Cuota Mensual</t>
        </is>
      </c>
      <c r="B10" s="13">
        <f>IFERROR(-PMT(B5/100,B7,-B4),0)</f>
        <v/>
      </c>
    </row>
    <row r="11" ht="26" customHeight="1">
      <c r="A11" s="12" t="inlineStr">
        <is>
          <t>Total a Recibir</t>
        </is>
      </c>
      <c r="B11" s="13">
        <f>B10*B7</f>
        <v/>
      </c>
    </row>
    <row r="12" ht="26" customHeight="1">
      <c r="A12" s="12" t="inlineStr">
        <is>
          <t>Total de Intereses</t>
        </is>
      </c>
      <c r="B12" s="13">
        <f>B11-B4</f>
        <v/>
      </c>
    </row>
    <row r="13" ht="26" customHeight="1">
      <c r="A13" s="12" t="inlineStr">
        <is>
          <t>Capital Financiado</t>
        </is>
      </c>
      <c r="B13" s="13">
        <f>B4</f>
        <v/>
      </c>
    </row>
    <row r="14" ht="8" customHeight="1"/>
    <row r="15" ht="24" customHeight="1">
      <c r="A15" s="5" t="inlineStr">
        <is>
          <t xml:space="preserve">  TABLA DE AMORTIZACIÓN  (se actualiza automáticamente)</t>
        </is>
      </c>
    </row>
    <row r="16" ht="20" customHeight="1">
      <c r="A16" s="14" t="inlineStr">
        <is>
          <t>Cuota #</t>
        </is>
      </c>
      <c r="B16" s="14" t="inlineStr">
        <is>
          <t>Saldo Inicial</t>
        </is>
      </c>
      <c r="C16" s="14" t="inlineStr">
        <is>
          <t>Cuota</t>
        </is>
      </c>
      <c r="D16" s="14" t="inlineStr">
        <is>
          <t>Interés</t>
        </is>
      </c>
      <c r="E16" s="14" t="inlineStr">
        <is>
          <t>Capital</t>
        </is>
      </c>
      <c r="F16" s="14" t="inlineStr">
        <is>
          <t>Saldo Final</t>
        </is>
      </c>
    </row>
    <row r="17" ht="16" customHeight="1">
      <c r="A17" s="15" t="n">
        <v>1</v>
      </c>
      <c r="B17" s="16">
        <f>IF($B$7&gt;=1,$B$4,0)</f>
        <v/>
      </c>
      <c r="C17" s="16">
        <f>IF(A17&lt;=$B$7,$B$10,0)</f>
        <v/>
      </c>
      <c r="D17" s="16">
        <f>IF(A17&lt;=$B$7,B17*$B$5/100,0)</f>
        <v/>
      </c>
      <c r="E17" s="16">
        <f>IF(A17&lt;=$B$7,C17-D17,0)</f>
        <v/>
      </c>
      <c r="F17" s="16">
        <f>IF(A17&lt;=$B$7,MAX(0,B17-E17),0)</f>
        <v/>
      </c>
    </row>
    <row r="18" ht="16" customHeight="1">
      <c r="A18" s="17" t="n">
        <v>2</v>
      </c>
      <c r="B18" s="18">
        <f>IF(A18&lt;=$B$7,MAX(0,F17),0)</f>
        <v/>
      </c>
      <c r="C18" s="18">
        <f>IF(A18&lt;=$B$7,$B$10,0)</f>
        <v/>
      </c>
      <c r="D18" s="18">
        <f>IF(A18&lt;=$B$7,B18*$B$5/100,0)</f>
        <v/>
      </c>
      <c r="E18" s="18">
        <f>IF(A18&lt;=$B$7,C18-D18,0)</f>
        <v/>
      </c>
      <c r="F18" s="18">
        <f>IF(A18&lt;=$B$7,MAX(0,B18-E18),0)</f>
        <v/>
      </c>
    </row>
    <row r="19" ht="16" customHeight="1">
      <c r="A19" s="15" t="n">
        <v>3</v>
      </c>
      <c r="B19" s="16">
        <f>IF(A19&lt;=$B$7,MAX(0,F18),0)</f>
        <v/>
      </c>
      <c r="C19" s="16">
        <f>IF(A19&lt;=$B$7,$B$10,0)</f>
        <v/>
      </c>
      <c r="D19" s="16">
        <f>IF(A19&lt;=$B$7,B19*$B$5/100,0)</f>
        <v/>
      </c>
      <c r="E19" s="16">
        <f>IF(A19&lt;=$B$7,C19-D19,0)</f>
        <v/>
      </c>
      <c r="F19" s="16">
        <f>IF(A19&lt;=$B$7,MAX(0,B19-E19),0)</f>
        <v/>
      </c>
    </row>
    <row r="20" ht="16" customHeight="1">
      <c r="A20" s="17" t="n">
        <v>4</v>
      </c>
      <c r="B20" s="18">
        <f>IF(A20&lt;=$B$7,MAX(0,F19),0)</f>
        <v/>
      </c>
      <c r="C20" s="18">
        <f>IF(A20&lt;=$B$7,$B$10,0)</f>
        <v/>
      </c>
      <c r="D20" s="18">
        <f>IF(A20&lt;=$B$7,B20*$B$5/100,0)</f>
        <v/>
      </c>
      <c r="E20" s="18">
        <f>IF(A20&lt;=$B$7,C20-D20,0)</f>
        <v/>
      </c>
      <c r="F20" s="18">
        <f>IF(A20&lt;=$B$7,MAX(0,B20-E20),0)</f>
        <v/>
      </c>
    </row>
    <row r="21" ht="16" customHeight="1">
      <c r="A21" s="15" t="n">
        <v>5</v>
      </c>
      <c r="B21" s="16">
        <f>IF(A21&lt;=$B$7,MAX(0,F20),0)</f>
        <v/>
      </c>
      <c r="C21" s="16">
        <f>IF(A21&lt;=$B$7,$B$10,0)</f>
        <v/>
      </c>
      <c r="D21" s="16">
        <f>IF(A21&lt;=$B$7,B21*$B$5/100,0)</f>
        <v/>
      </c>
      <c r="E21" s="16">
        <f>IF(A21&lt;=$B$7,C21-D21,0)</f>
        <v/>
      </c>
      <c r="F21" s="16">
        <f>IF(A21&lt;=$B$7,MAX(0,B21-E21),0)</f>
        <v/>
      </c>
    </row>
    <row r="22" ht="16" customHeight="1">
      <c r="A22" s="17" t="n">
        <v>6</v>
      </c>
      <c r="B22" s="18">
        <f>IF(A22&lt;=$B$7,MAX(0,F21),0)</f>
        <v/>
      </c>
      <c r="C22" s="18">
        <f>IF(A22&lt;=$B$7,$B$10,0)</f>
        <v/>
      </c>
      <c r="D22" s="18">
        <f>IF(A22&lt;=$B$7,B22*$B$5/100,0)</f>
        <v/>
      </c>
      <c r="E22" s="18">
        <f>IF(A22&lt;=$B$7,C22-D22,0)</f>
        <v/>
      </c>
      <c r="F22" s="18">
        <f>IF(A22&lt;=$B$7,MAX(0,B22-E22),0)</f>
        <v/>
      </c>
    </row>
    <row r="23" ht="16" customHeight="1">
      <c r="A23" s="15" t="n">
        <v>7</v>
      </c>
      <c r="B23" s="16">
        <f>IF(A23&lt;=$B$7,MAX(0,F22),0)</f>
        <v/>
      </c>
      <c r="C23" s="16">
        <f>IF(A23&lt;=$B$7,$B$10,0)</f>
        <v/>
      </c>
      <c r="D23" s="16">
        <f>IF(A23&lt;=$B$7,B23*$B$5/100,0)</f>
        <v/>
      </c>
      <c r="E23" s="16">
        <f>IF(A23&lt;=$B$7,C23-D23,0)</f>
        <v/>
      </c>
      <c r="F23" s="16">
        <f>IF(A23&lt;=$B$7,MAX(0,B23-E23),0)</f>
        <v/>
      </c>
    </row>
    <row r="24" ht="16" customHeight="1">
      <c r="A24" s="17" t="n">
        <v>8</v>
      </c>
      <c r="B24" s="18">
        <f>IF(A24&lt;=$B$7,MAX(0,F23),0)</f>
        <v/>
      </c>
      <c r="C24" s="18">
        <f>IF(A24&lt;=$B$7,$B$10,0)</f>
        <v/>
      </c>
      <c r="D24" s="18">
        <f>IF(A24&lt;=$B$7,B24*$B$5/100,0)</f>
        <v/>
      </c>
      <c r="E24" s="18">
        <f>IF(A24&lt;=$B$7,C24-D24,0)</f>
        <v/>
      </c>
      <c r="F24" s="18">
        <f>IF(A24&lt;=$B$7,MAX(0,B24-E24),0)</f>
        <v/>
      </c>
    </row>
    <row r="25" ht="16" customHeight="1">
      <c r="A25" s="15" t="n">
        <v>9</v>
      </c>
      <c r="B25" s="16">
        <f>IF(A25&lt;=$B$7,MAX(0,F24),0)</f>
        <v/>
      </c>
      <c r="C25" s="16">
        <f>IF(A25&lt;=$B$7,$B$10,0)</f>
        <v/>
      </c>
      <c r="D25" s="16">
        <f>IF(A25&lt;=$B$7,B25*$B$5/100,0)</f>
        <v/>
      </c>
      <c r="E25" s="16">
        <f>IF(A25&lt;=$B$7,C25-D25,0)</f>
        <v/>
      </c>
      <c r="F25" s="16">
        <f>IF(A25&lt;=$B$7,MAX(0,B25-E25),0)</f>
        <v/>
      </c>
    </row>
    <row r="26" ht="16" customHeight="1">
      <c r="A26" s="17" t="n">
        <v>10</v>
      </c>
      <c r="B26" s="18">
        <f>IF(A26&lt;=$B$7,MAX(0,F25),0)</f>
        <v/>
      </c>
      <c r="C26" s="18">
        <f>IF(A26&lt;=$B$7,$B$10,0)</f>
        <v/>
      </c>
      <c r="D26" s="18">
        <f>IF(A26&lt;=$B$7,B26*$B$5/100,0)</f>
        <v/>
      </c>
      <c r="E26" s="18">
        <f>IF(A26&lt;=$B$7,C26-D26,0)</f>
        <v/>
      </c>
      <c r="F26" s="18">
        <f>IF(A26&lt;=$B$7,MAX(0,B26-E26),0)</f>
        <v/>
      </c>
    </row>
    <row r="27" ht="16" customHeight="1">
      <c r="A27" s="15" t="n">
        <v>11</v>
      </c>
      <c r="B27" s="16">
        <f>IF(A27&lt;=$B$7,MAX(0,F26),0)</f>
        <v/>
      </c>
      <c r="C27" s="16">
        <f>IF(A27&lt;=$B$7,$B$10,0)</f>
        <v/>
      </c>
      <c r="D27" s="16">
        <f>IF(A27&lt;=$B$7,B27*$B$5/100,0)</f>
        <v/>
      </c>
      <c r="E27" s="16">
        <f>IF(A27&lt;=$B$7,C27-D27,0)</f>
        <v/>
      </c>
      <c r="F27" s="16">
        <f>IF(A27&lt;=$B$7,MAX(0,B27-E27),0)</f>
        <v/>
      </c>
    </row>
    <row r="28" ht="16" customHeight="1">
      <c r="A28" s="17" t="n">
        <v>12</v>
      </c>
      <c r="B28" s="18">
        <f>IF(A28&lt;=$B$7,MAX(0,F27),0)</f>
        <v/>
      </c>
      <c r="C28" s="18">
        <f>IF(A28&lt;=$B$7,$B$10,0)</f>
        <v/>
      </c>
      <c r="D28" s="18">
        <f>IF(A28&lt;=$B$7,B28*$B$5/100,0)</f>
        <v/>
      </c>
      <c r="E28" s="18">
        <f>IF(A28&lt;=$B$7,C28-D28,0)</f>
        <v/>
      </c>
      <c r="F28" s="18">
        <f>IF(A28&lt;=$B$7,MAX(0,B28-E28),0)</f>
        <v/>
      </c>
    </row>
    <row r="29" ht="16" customHeight="1">
      <c r="A29" s="15" t="n">
        <v>13</v>
      </c>
      <c r="B29" s="16">
        <f>IF(A29&lt;=$B$7,MAX(0,F28),0)</f>
        <v/>
      </c>
      <c r="C29" s="16">
        <f>IF(A29&lt;=$B$7,$B$10,0)</f>
        <v/>
      </c>
      <c r="D29" s="16">
        <f>IF(A29&lt;=$B$7,B29*$B$5/100,0)</f>
        <v/>
      </c>
      <c r="E29" s="16">
        <f>IF(A29&lt;=$B$7,C29-D29,0)</f>
        <v/>
      </c>
      <c r="F29" s="16">
        <f>IF(A29&lt;=$B$7,MAX(0,B29-E29),0)</f>
        <v/>
      </c>
    </row>
    <row r="30" ht="16" customHeight="1">
      <c r="A30" s="17" t="n">
        <v>14</v>
      </c>
      <c r="B30" s="18">
        <f>IF(A30&lt;=$B$7,MAX(0,F29),0)</f>
        <v/>
      </c>
      <c r="C30" s="18">
        <f>IF(A30&lt;=$B$7,$B$10,0)</f>
        <v/>
      </c>
      <c r="D30" s="18">
        <f>IF(A30&lt;=$B$7,B30*$B$5/100,0)</f>
        <v/>
      </c>
      <c r="E30" s="18">
        <f>IF(A30&lt;=$B$7,C30-D30,0)</f>
        <v/>
      </c>
      <c r="F30" s="18">
        <f>IF(A30&lt;=$B$7,MAX(0,B30-E30),0)</f>
        <v/>
      </c>
    </row>
    <row r="31" ht="16" customHeight="1">
      <c r="A31" s="15" t="n">
        <v>15</v>
      </c>
      <c r="B31" s="16">
        <f>IF(A31&lt;=$B$7,MAX(0,F30),0)</f>
        <v/>
      </c>
      <c r="C31" s="16">
        <f>IF(A31&lt;=$B$7,$B$10,0)</f>
        <v/>
      </c>
      <c r="D31" s="16">
        <f>IF(A31&lt;=$B$7,B31*$B$5/100,0)</f>
        <v/>
      </c>
      <c r="E31" s="16">
        <f>IF(A31&lt;=$B$7,C31-D31,0)</f>
        <v/>
      </c>
      <c r="F31" s="16">
        <f>IF(A31&lt;=$B$7,MAX(0,B31-E31),0)</f>
        <v/>
      </c>
    </row>
    <row r="32" ht="16" customHeight="1">
      <c r="A32" s="17" t="n">
        <v>16</v>
      </c>
      <c r="B32" s="18">
        <f>IF(A32&lt;=$B$7,MAX(0,F31),0)</f>
        <v/>
      </c>
      <c r="C32" s="18">
        <f>IF(A32&lt;=$B$7,$B$10,0)</f>
        <v/>
      </c>
      <c r="D32" s="18">
        <f>IF(A32&lt;=$B$7,B32*$B$5/100,0)</f>
        <v/>
      </c>
      <c r="E32" s="18">
        <f>IF(A32&lt;=$B$7,C32-D32,0)</f>
        <v/>
      </c>
      <c r="F32" s="18">
        <f>IF(A32&lt;=$B$7,MAX(0,B32-E32),0)</f>
        <v/>
      </c>
    </row>
    <row r="33" ht="16" customHeight="1">
      <c r="A33" s="15" t="n">
        <v>17</v>
      </c>
      <c r="B33" s="16">
        <f>IF(A33&lt;=$B$7,MAX(0,F32),0)</f>
        <v/>
      </c>
      <c r="C33" s="16">
        <f>IF(A33&lt;=$B$7,$B$10,0)</f>
        <v/>
      </c>
      <c r="D33" s="16">
        <f>IF(A33&lt;=$B$7,B33*$B$5/100,0)</f>
        <v/>
      </c>
      <c r="E33" s="16">
        <f>IF(A33&lt;=$B$7,C33-D33,0)</f>
        <v/>
      </c>
      <c r="F33" s="16">
        <f>IF(A33&lt;=$B$7,MAX(0,B33-E33),0)</f>
        <v/>
      </c>
    </row>
    <row r="34" ht="16" customHeight="1">
      <c r="A34" s="17" t="n">
        <v>18</v>
      </c>
      <c r="B34" s="18">
        <f>IF(A34&lt;=$B$7,MAX(0,F33),0)</f>
        <v/>
      </c>
      <c r="C34" s="18">
        <f>IF(A34&lt;=$B$7,$B$10,0)</f>
        <v/>
      </c>
      <c r="D34" s="18">
        <f>IF(A34&lt;=$B$7,B34*$B$5/100,0)</f>
        <v/>
      </c>
      <c r="E34" s="18">
        <f>IF(A34&lt;=$B$7,C34-D34,0)</f>
        <v/>
      </c>
      <c r="F34" s="18">
        <f>IF(A34&lt;=$B$7,MAX(0,B34-E34),0)</f>
        <v/>
      </c>
    </row>
    <row r="35" ht="16" customHeight="1">
      <c r="A35" s="15" t="n">
        <v>19</v>
      </c>
      <c r="B35" s="16">
        <f>IF(A35&lt;=$B$7,MAX(0,F34),0)</f>
        <v/>
      </c>
      <c r="C35" s="16">
        <f>IF(A35&lt;=$B$7,$B$10,0)</f>
        <v/>
      </c>
      <c r="D35" s="16">
        <f>IF(A35&lt;=$B$7,B35*$B$5/100,0)</f>
        <v/>
      </c>
      <c r="E35" s="16">
        <f>IF(A35&lt;=$B$7,C35-D35,0)</f>
        <v/>
      </c>
      <c r="F35" s="16">
        <f>IF(A35&lt;=$B$7,MAX(0,B35-E35),0)</f>
        <v/>
      </c>
    </row>
    <row r="36" ht="16" customHeight="1">
      <c r="A36" s="17" t="n">
        <v>20</v>
      </c>
      <c r="B36" s="18">
        <f>IF(A36&lt;=$B$7,MAX(0,F35),0)</f>
        <v/>
      </c>
      <c r="C36" s="18">
        <f>IF(A36&lt;=$B$7,$B$10,0)</f>
        <v/>
      </c>
      <c r="D36" s="18">
        <f>IF(A36&lt;=$B$7,B36*$B$5/100,0)</f>
        <v/>
      </c>
      <c r="E36" s="18">
        <f>IF(A36&lt;=$B$7,C36-D36,0)</f>
        <v/>
      </c>
      <c r="F36" s="18">
        <f>IF(A36&lt;=$B$7,MAX(0,B36-E36),0)</f>
        <v/>
      </c>
    </row>
    <row r="37" ht="16" customHeight="1">
      <c r="A37" s="15" t="n">
        <v>21</v>
      </c>
      <c r="B37" s="16">
        <f>IF(A37&lt;=$B$7,MAX(0,F36),0)</f>
        <v/>
      </c>
      <c r="C37" s="16">
        <f>IF(A37&lt;=$B$7,$B$10,0)</f>
        <v/>
      </c>
      <c r="D37" s="16">
        <f>IF(A37&lt;=$B$7,B37*$B$5/100,0)</f>
        <v/>
      </c>
      <c r="E37" s="16">
        <f>IF(A37&lt;=$B$7,C37-D37,0)</f>
        <v/>
      </c>
      <c r="F37" s="16">
        <f>IF(A37&lt;=$B$7,MAX(0,B37-E37),0)</f>
        <v/>
      </c>
    </row>
    <row r="38" ht="16" customHeight="1">
      <c r="A38" s="17" t="n">
        <v>22</v>
      </c>
      <c r="B38" s="18">
        <f>IF(A38&lt;=$B$7,MAX(0,F37),0)</f>
        <v/>
      </c>
      <c r="C38" s="18">
        <f>IF(A38&lt;=$B$7,$B$10,0)</f>
        <v/>
      </c>
      <c r="D38" s="18">
        <f>IF(A38&lt;=$B$7,B38*$B$5/100,0)</f>
        <v/>
      </c>
      <c r="E38" s="18">
        <f>IF(A38&lt;=$B$7,C38-D38,0)</f>
        <v/>
      </c>
      <c r="F38" s="18">
        <f>IF(A38&lt;=$B$7,MAX(0,B38-E38),0)</f>
        <v/>
      </c>
    </row>
    <row r="39" ht="16" customHeight="1">
      <c r="A39" s="15" t="n">
        <v>23</v>
      </c>
      <c r="B39" s="16">
        <f>IF(A39&lt;=$B$7,MAX(0,F38),0)</f>
        <v/>
      </c>
      <c r="C39" s="16">
        <f>IF(A39&lt;=$B$7,$B$10,0)</f>
        <v/>
      </c>
      <c r="D39" s="16">
        <f>IF(A39&lt;=$B$7,B39*$B$5/100,0)</f>
        <v/>
      </c>
      <c r="E39" s="16">
        <f>IF(A39&lt;=$B$7,C39-D39,0)</f>
        <v/>
      </c>
      <c r="F39" s="16">
        <f>IF(A39&lt;=$B$7,MAX(0,B39-E39),0)</f>
        <v/>
      </c>
    </row>
    <row r="40" ht="16" customHeight="1">
      <c r="A40" s="17" t="n">
        <v>24</v>
      </c>
      <c r="B40" s="18">
        <f>IF(A40&lt;=$B$7,MAX(0,F39),0)</f>
        <v/>
      </c>
      <c r="C40" s="18">
        <f>IF(A40&lt;=$B$7,$B$10,0)</f>
        <v/>
      </c>
      <c r="D40" s="18">
        <f>IF(A40&lt;=$B$7,B40*$B$5/100,0)</f>
        <v/>
      </c>
      <c r="E40" s="18">
        <f>IF(A40&lt;=$B$7,C40-D40,0)</f>
        <v/>
      </c>
      <c r="F40" s="18">
        <f>IF(A40&lt;=$B$7,MAX(0,B40-E40),0)</f>
        <v/>
      </c>
    </row>
    <row r="41" ht="16" customHeight="1">
      <c r="A41" s="15" t="n">
        <v>25</v>
      </c>
      <c r="B41" s="16">
        <f>IF(A41&lt;=$B$7,MAX(0,F40),0)</f>
        <v/>
      </c>
      <c r="C41" s="16">
        <f>IF(A41&lt;=$B$7,$B$10,0)</f>
        <v/>
      </c>
      <c r="D41" s="16">
        <f>IF(A41&lt;=$B$7,B41*$B$5/100,0)</f>
        <v/>
      </c>
      <c r="E41" s="16">
        <f>IF(A41&lt;=$B$7,C41-D41,0)</f>
        <v/>
      </c>
      <c r="F41" s="16">
        <f>IF(A41&lt;=$B$7,MAX(0,B41-E41),0)</f>
        <v/>
      </c>
    </row>
    <row r="42" ht="16" customHeight="1">
      <c r="A42" s="17" t="n">
        <v>26</v>
      </c>
      <c r="B42" s="18">
        <f>IF(A42&lt;=$B$7,MAX(0,F41),0)</f>
        <v/>
      </c>
      <c r="C42" s="18">
        <f>IF(A42&lt;=$B$7,$B$10,0)</f>
        <v/>
      </c>
      <c r="D42" s="18">
        <f>IF(A42&lt;=$B$7,B42*$B$5/100,0)</f>
        <v/>
      </c>
      <c r="E42" s="18">
        <f>IF(A42&lt;=$B$7,C42-D42,0)</f>
        <v/>
      </c>
      <c r="F42" s="18">
        <f>IF(A42&lt;=$B$7,MAX(0,B42-E42),0)</f>
        <v/>
      </c>
    </row>
    <row r="43" ht="16" customHeight="1">
      <c r="A43" s="15" t="n">
        <v>27</v>
      </c>
      <c r="B43" s="16">
        <f>IF(A43&lt;=$B$7,MAX(0,F42),0)</f>
        <v/>
      </c>
      <c r="C43" s="16">
        <f>IF(A43&lt;=$B$7,$B$10,0)</f>
        <v/>
      </c>
      <c r="D43" s="16">
        <f>IF(A43&lt;=$B$7,B43*$B$5/100,0)</f>
        <v/>
      </c>
      <c r="E43" s="16">
        <f>IF(A43&lt;=$B$7,C43-D43,0)</f>
        <v/>
      </c>
      <c r="F43" s="16">
        <f>IF(A43&lt;=$B$7,MAX(0,B43-E43),0)</f>
        <v/>
      </c>
    </row>
    <row r="44" ht="16" customHeight="1">
      <c r="A44" s="17" t="n">
        <v>28</v>
      </c>
      <c r="B44" s="18">
        <f>IF(A44&lt;=$B$7,MAX(0,F43),0)</f>
        <v/>
      </c>
      <c r="C44" s="18">
        <f>IF(A44&lt;=$B$7,$B$10,0)</f>
        <v/>
      </c>
      <c r="D44" s="18">
        <f>IF(A44&lt;=$B$7,B44*$B$5/100,0)</f>
        <v/>
      </c>
      <c r="E44" s="18">
        <f>IF(A44&lt;=$B$7,C44-D44,0)</f>
        <v/>
      </c>
      <c r="F44" s="18">
        <f>IF(A44&lt;=$B$7,MAX(0,B44-E44),0)</f>
        <v/>
      </c>
    </row>
    <row r="45" ht="16" customHeight="1">
      <c r="A45" s="15" t="n">
        <v>29</v>
      </c>
      <c r="B45" s="16">
        <f>IF(A45&lt;=$B$7,MAX(0,F44),0)</f>
        <v/>
      </c>
      <c r="C45" s="16">
        <f>IF(A45&lt;=$B$7,$B$10,0)</f>
        <v/>
      </c>
      <c r="D45" s="16">
        <f>IF(A45&lt;=$B$7,B45*$B$5/100,0)</f>
        <v/>
      </c>
      <c r="E45" s="16">
        <f>IF(A45&lt;=$B$7,C45-D45,0)</f>
        <v/>
      </c>
      <c r="F45" s="16">
        <f>IF(A45&lt;=$B$7,MAX(0,B45-E45),0)</f>
        <v/>
      </c>
    </row>
    <row r="46" ht="16" customHeight="1">
      <c r="A46" s="17" t="n">
        <v>30</v>
      </c>
      <c r="B46" s="18">
        <f>IF(A46&lt;=$B$7,MAX(0,F45),0)</f>
        <v/>
      </c>
      <c r="C46" s="18">
        <f>IF(A46&lt;=$B$7,$B$10,0)</f>
        <v/>
      </c>
      <c r="D46" s="18">
        <f>IF(A46&lt;=$B$7,B46*$B$5/100,0)</f>
        <v/>
      </c>
      <c r="E46" s="18">
        <f>IF(A46&lt;=$B$7,C46-D46,0)</f>
        <v/>
      </c>
      <c r="F46" s="18">
        <f>IF(A46&lt;=$B$7,MAX(0,B46-E46),0)</f>
        <v/>
      </c>
    </row>
    <row r="47" ht="16" customHeight="1">
      <c r="A47" s="15" t="n">
        <v>31</v>
      </c>
      <c r="B47" s="16">
        <f>IF(A47&lt;=$B$7,MAX(0,F46),0)</f>
        <v/>
      </c>
      <c r="C47" s="16">
        <f>IF(A47&lt;=$B$7,$B$10,0)</f>
        <v/>
      </c>
      <c r="D47" s="16">
        <f>IF(A47&lt;=$B$7,B47*$B$5/100,0)</f>
        <v/>
      </c>
      <c r="E47" s="16">
        <f>IF(A47&lt;=$B$7,C47-D47,0)</f>
        <v/>
      </c>
      <c r="F47" s="16">
        <f>IF(A47&lt;=$B$7,MAX(0,B47-E47),0)</f>
        <v/>
      </c>
    </row>
    <row r="48" ht="16" customHeight="1">
      <c r="A48" s="17" t="n">
        <v>32</v>
      </c>
      <c r="B48" s="18">
        <f>IF(A48&lt;=$B$7,MAX(0,F47),0)</f>
        <v/>
      </c>
      <c r="C48" s="18">
        <f>IF(A48&lt;=$B$7,$B$10,0)</f>
        <v/>
      </c>
      <c r="D48" s="18">
        <f>IF(A48&lt;=$B$7,B48*$B$5/100,0)</f>
        <v/>
      </c>
      <c r="E48" s="18">
        <f>IF(A48&lt;=$B$7,C48-D48,0)</f>
        <v/>
      </c>
      <c r="F48" s="18">
        <f>IF(A48&lt;=$B$7,MAX(0,B48-E48),0)</f>
        <v/>
      </c>
    </row>
    <row r="49" ht="16" customHeight="1">
      <c r="A49" s="15" t="n">
        <v>33</v>
      </c>
      <c r="B49" s="16">
        <f>IF(A49&lt;=$B$7,MAX(0,F48),0)</f>
        <v/>
      </c>
      <c r="C49" s="16">
        <f>IF(A49&lt;=$B$7,$B$10,0)</f>
        <v/>
      </c>
      <c r="D49" s="16">
        <f>IF(A49&lt;=$B$7,B49*$B$5/100,0)</f>
        <v/>
      </c>
      <c r="E49" s="16">
        <f>IF(A49&lt;=$B$7,C49-D49,0)</f>
        <v/>
      </c>
      <c r="F49" s="16">
        <f>IF(A49&lt;=$B$7,MAX(0,B49-E49),0)</f>
        <v/>
      </c>
    </row>
    <row r="50" ht="16" customHeight="1">
      <c r="A50" s="17" t="n">
        <v>34</v>
      </c>
      <c r="B50" s="18">
        <f>IF(A50&lt;=$B$7,MAX(0,F49),0)</f>
        <v/>
      </c>
      <c r="C50" s="18">
        <f>IF(A50&lt;=$B$7,$B$10,0)</f>
        <v/>
      </c>
      <c r="D50" s="18">
        <f>IF(A50&lt;=$B$7,B50*$B$5/100,0)</f>
        <v/>
      </c>
      <c r="E50" s="18">
        <f>IF(A50&lt;=$B$7,C50-D50,0)</f>
        <v/>
      </c>
      <c r="F50" s="18">
        <f>IF(A50&lt;=$B$7,MAX(0,B50-E50),0)</f>
        <v/>
      </c>
    </row>
    <row r="51" ht="16" customHeight="1">
      <c r="A51" s="15" t="n">
        <v>35</v>
      </c>
      <c r="B51" s="16">
        <f>IF(A51&lt;=$B$7,MAX(0,F50),0)</f>
        <v/>
      </c>
      <c r="C51" s="16">
        <f>IF(A51&lt;=$B$7,$B$10,0)</f>
        <v/>
      </c>
      <c r="D51" s="16">
        <f>IF(A51&lt;=$B$7,B51*$B$5/100,0)</f>
        <v/>
      </c>
      <c r="E51" s="16">
        <f>IF(A51&lt;=$B$7,C51-D51,0)</f>
        <v/>
      </c>
      <c r="F51" s="16">
        <f>IF(A51&lt;=$B$7,MAX(0,B51-E51),0)</f>
        <v/>
      </c>
    </row>
    <row r="52" ht="16" customHeight="1">
      <c r="A52" s="17" t="n">
        <v>36</v>
      </c>
      <c r="B52" s="18">
        <f>IF(A52&lt;=$B$7,MAX(0,F51),0)</f>
        <v/>
      </c>
      <c r="C52" s="18">
        <f>IF(A52&lt;=$B$7,$B$10,0)</f>
        <v/>
      </c>
      <c r="D52" s="18">
        <f>IF(A52&lt;=$B$7,B52*$B$5/100,0)</f>
        <v/>
      </c>
      <c r="E52" s="18">
        <f>IF(A52&lt;=$B$7,C52-D52,0)</f>
        <v/>
      </c>
      <c r="F52" s="18">
        <f>IF(A52&lt;=$B$7,MAX(0,B52-E52),0)</f>
        <v/>
      </c>
    </row>
    <row r="53" ht="16" customHeight="1">
      <c r="A53" s="15" t="n">
        <v>37</v>
      </c>
      <c r="B53" s="16">
        <f>IF(A53&lt;=$B$7,MAX(0,F52),0)</f>
        <v/>
      </c>
      <c r="C53" s="16">
        <f>IF(A53&lt;=$B$7,$B$10,0)</f>
        <v/>
      </c>
      <c r="D53" s="16">
        <f>IF(A53&lt;=$B$7,B53*$B$5/100,0)</f>
        <v/>
      </c>
      <c r="E53" s="16">
        <f>IF(A53&lt;=$B$7,C53-D53,0)</f>
        <v/>
      </c>
      <c r="F53" s="16">
        <f>IF(A53&lt;=$B$7,MAX(0,B53-E53),0)</f>
        <v/>
      </c>
    </row>
    <row r="54" ht="16" customHeight="1">
      <c r="A54" s="17" t="n">
        <v>38</v>
      </c>
      <c r="B54" s="18">
        <f>IF(A54&lt;=$B$7,MAX(0,F53),0)</f>
        <v/>
      </c>
      <c r="C54" s="18">
        <f>IF(A54&lt;=$B$7,$B$10,0)</f>
        <v/>
      </c>
      <c r="D54" s="18">
        <f>IF(A54&lt;=$B$7,B54*$B$5/100,0)</f>
        <v/>
      </c>
      <c r="E54" s="18">
        <f>IF(A54&lt;=$B$7,C54-D54,0)</f>
        <v/>
      </c>
      <c r="F54" s="18">
        <f>IF(A54&lt;=$B$7,MAX(0,B54-E54),0)</f>
        <v/>
      </c>
    </row>
    <row r="55" ht="16" customHeight="1">
      <c r="A55" s="15" t="n">
        <v>39</v>
      </c>
      <c r="B55" s="16">
        <f>IF(A55&lt;=$B$7,MAX(0,F54),0)</f>
        <v/>
      </c>
      <c r="C55" s="16">
        <f>IF(A55&lt;=$B$7,$B$10,0)</f>
        <v/>
      </c>
      <c r="D55" s="16">
        <f>IF(A55&lt;=$B$7,B55*$B$5/100,0)</f>
        <v/>
      </c>
      <c r="E55" s="16">
        <f>IF(A55&lt;=$B$7,C55-D55,0)</f>
        <v/>
      </c>
      <c r="F55" s="16">
        <f>IF(A55&lt;=$B$7,MAX(0,B55-E55),0)</f>
        <v/>
      </c>
    </row>
    <row r="56" ht="16" customHeight="1">
      <c r="A56" s="17" t="n">
        <v>40</v>
      </c>
      <c r="B56" s="18">
        <f>IF(A56&lt;=$B$7,MAX(0,F55),0)</f>
        <v/>
      </c>
      <c r="C56" s="18">
        <f>IF(A56&lt;=$B$7,$B$10,0)</f>
        <v/>
      </c>
      <c r="D56" s="18">
        <f>IF(A56&lt;=$B$7,B56*$B$5/100,0)</f>
        <v/>
      </c>
      <c r="E56" s="18">
        <f>IF(A56&lt;=$B$7,C56-D56,0)</f>
        <v/>
      </c>
      <c r="F56" s="18">
        <f>IF(A56&lt;=$B$7,MAX(0,B56-E56),0)</f>
        <v/>
      </c>
    </row>
    <row r="57" ht="16" customHeight="1">
      <c r="A57" s="15" t="n">
        <v>41</v>
      </c>
      <c r="B57" s="16">
        <f>IF(A57&lt;=$B$7,MAX(0,F56),0)</f>
        <v/>
      </c>
      <c r="C57" s="16">
        <f>IF(A57&lt;=$B$7,$B$10,0)</f>
        <v/>
      </c>
      <c r="D57" s="16">
        <f>IF(A57&lt;=$B$7,B57*$B$5/100,0)</f>
        <v/>
      </c>
      <c r="E57" s="16">
        <f>IF(A57&lt;=$B$7,C57-D57,0)</f>
        <v/>
      </c>
      <c r="F57" s="16">
        <f>IF(A57&lt;=$B$7,MAX(0,B57-E57),0)</f>
        <v/>
      </c>
    </row>
    <row r="58" ht="16" customHeight="1">
      <c r="A58" s="17" t="n">
        <v>42</v>
      </c>
      <c r="B58" s="18">
        <f>IF(A58&lt;=$B$7,MAX(0,F57),0)</f>
        <v/>
      </c>
      <c r="C58" s="18">
        <f>IF(A58&lt;=$B$7,$B$10,0)</f>
        <v/>
      </c>
      <c r="D58" s="18">
        <f>IF(A58&lt;=$B$7,B58*$B$5/100,0)</f>
        <v/>
      </c>
      <c r="E58" s="18">
        <f>IF(A58&lt;=$B$7,C58-D58,0)</f>
        <v/>
      </c>
      <c r="F58" s="18">
        <f>IF(A58&lt;=$B$7,MAX(0,B58-E58),0)</f>
        <v/>
      </c>
    </row>
    <row r="59" ht="16" customHeight="1">
      <c r="A59" s="15" t="n">
        <v>43</v>
      </c>
      <c r="B59" s="16">
        <f>IF(A59&lt;=$B$7,MAX(0,F58),0)</f>
        <v/>
      </c>
      <c r="C59" s="16">
        <f>IF(A59&lt;=$B$7,$B$10,0)</f>
        <v/>
      </c>
      <c r="D59" s="16">
        <f>IF(A59&lt;=$B$7,B59*$B$5/100,0)</f>
        <v/>
      </c>
      <c r="E59" s="16">
        <f>IF(A59&lt;=$B$7,C59-D59,0)</f>
        <v/>
      </c>
      <c r="F59" s="16">
        <f>IF(A59&lt;=$B$7,MAX(0,B59-E59),0)</f>
        <v/>
      </c>
    </row>
    <row r="60" ht="16" customHeight="1">
      <c r="A60" s="17" t="n">
        <v>44</v>
      </c>
      <c r="B60" s="18">
        <f>IF(A60&lt;=$B$7,MAX(0,F59),0)</f>
        <v/>
      </c>
      <c r="C60" s="18">
        <f>IF(A60&lt;=$B$7,$B$10,0)</f>
        <v/>
      </c>
      <c r="D60" s="18">
        <f>IF(A60&lt;=$B$7,B60*$B$5/100,0)</f>
        <v/>
      </c>
      <c r="E60" s="18">
        <f>IF(A60&lt;=$B$7,C60-D60,0)</f>
        <v/>
      </c>
      <c r="F60" s="18">
        <f>IF(A60&lt;=$B$7,MAX(0,B60-E60),0)</f>
        <v/>
      </c>
    </row>
    <row r="61" ht="16" customHeight="1">
      <c r="A61" s="15" t="n">
        <v>45</v>
      </c>
      <c r="B61" s="16">
        <f>IF(A61&lt;=$B$7,MAX(0,F60),0)</f>
        <v/>
      </c>
      <c r="C61" s="16">
        <f>IF(A61&lt;=$B$7,$B$10,0)</f>
        <v/>
      </c>
      <c r="D61" s="16">
        <f>IF(A61&lt;=$B$7,B61*$B$5/100,0)</f>
        <v/>
      </c>
      <c r="E61" s="16">
        <f>IF(A61&lt;=$B$7,C61-D61,0)</f>
        <v/>
      </c>
      <c r="F61" s="16">
        <f>IF(A61&lt;=$B$7,MAX(0,B61-E61),0)</f>
        <v/>
      </c>
    </row>
    <row r="62" ht="16" customHeight="1">
      <c r="A62" s="17" t="n">
        <v>46</v>
      </c>
      <c r="B62" s="18">
        <f>IF(A62&lt;=$B$7,MAX(0,F61),0)</f>
        <v/>
      </c>
      <c r="C62" s="18">
        <f>IF(A62&lt;=$B$7,$B$10,0)</f>
        <v/>
      </c>
      <c r="D62" s="18">
        <f>IF(A62&lt;=$B$7,B62*$B$5/100,0)</f>
        <v/>
      </c>
      <c r="E62" s="18">
        <f>IF(A62&lt;=$B$7,C62-D62,0)</f>
        <v/>
      </c>
      <c r="F62" s="18">
        <f>IF(A62&lt;=$B$7,MAX(0,B62-E62),0)</f>
        <v/>
      </c>
    </row>
    <row r="63" ht="16" customHeight="1">
      <c r="A63" s="15" t="n">
        <v>47</v>
      </c>
      <c r="B63" s="16">
        <f>IF(A63&lt;=$B$7,MAX(0,F62),0)</f>
        <v/>
      </c>
      <c r="C63" s="16">
        <f>IF(A63&lt;=$B$7,$B$10,0)</f>
        <v/>
      </c>
      <c r="D63" s="16">
        <f>IF(A63&lt;=$B$7,B63*$B$5/100,0)</f>
        <v/>
      </c>
      <c r="E63" s="16">
        <f>IF(A63&lt;=$B$7,C63-D63,0)</f>
        <v/>
      </c>
      <c r="F63" s="16">
        <f>IF(A63&lt;=$B$7,MAX(0,B63-E63),0)</f>
        <v/>
      </c>
    </row>
    <row r="64" ht="16" customHeight="1">
      <c r="A64" s="17" t="n">
        <v>48</v>
      </c>
      <c r="B64" s="18">
        <f>IF(A64&lt;=$B$7,MAX(0,F63),0)</f>
        <v/>
      </c>
      <c r="C64" s="18">
        <f>IF(A64&lt;=$B$7,$B$10,0)</f>
        <v/>
      </c>
      <c r="D64" s="18">
        <f>IF(A64&lt;=$B$7,B64*$B$5/100,0)</f>
        <v/>
      </c>
      <c r="E64" s="18">
        <f>IF(A64&lt;=$B$7,C64-D64,0)</f>
        <v/>
      </c>
      <c r="F64" s="18">
        <f>IF(A64&lt;=$B$7,MAX(0,B64-E64),0)</f>
        <v/>
      </c>
    </row>
    <row r="65" ht="16" customHeight="1">
      <c r="A65" s="15" t="n">
        <v>49</v>
      </c>
      <c r="B65" s="16">
        <f>IF(A65&lt;=$B$7,MAX(0,F64),0)</f>
        <v/>
      </c>
      <c r="C65" s="16">
        <f>IF(A65&lt;=$B$7,$B$10,0)</f>
        <v/>
      </c>
      <c r="D65" s="16">
        <f>IF(A65&lt;=$B$7,B65*$B$5/100,0)</f>
        <v/>
      </c>
      <c r="E65" s="16">
        <f>IF(A65&lt;=$B$7,C65-D65,0)</f>
        <v/>
      </c>
      <c r="F65" s="16">
        <f>IF(A65&lt;=$B$7,MAX(0,B65-E65),0)</f>
        <v/>
      </c>
    </row>
    <row r="66" ht="16" customHeight="1">
      <c r="A66" s="17" t="n">
        <v>50</v>
      </c>
      <c r="B66" s="18">
        <f>IF(A66&lt;=$B$7,MAX(0,F65),0)</f>
        <v/>
      </c>
      <c r="C66" s="18">
        <f>IF(A66&lt;=$B$7,$B$10,0)</f>
        <v/>
      </c>
      <c r="D66" s="18">
        <f>IF(A66&lt;=$B$7,B66*$B$5/100,0)</f>
        <v/>
      </c>
      <c r="E66" s="18">
        <f>IF(A66&lt;=$B$7,C66-D66,0)</f>
        <v/>
      </c>
      <c r="F66" s="18">
        <f>IF(A66&lt;=$B$7,MAX(0,B66-E66),0)</f>
        <v/>
      </c>
    </row>
    <row r="67" ht="16" customHeight="1">
      <c r="A67" s="15" t="n">
        <v>51</v>
      </c>
      <c r="B67" s="16">
        <f>IF(A67&lt;=$B$7,MAX(0,F66),0)</f>
        <v/>
      </c>
      <c r="C67" s="16">
        <f>IF(A67&lt;=$B$7,$B$10,0)</f>
        <v/>
      </c>
      <c r="D67" s="16">
        <f>IF(A67&lt;=$B$7,B67*$B$5/100,0)</f>
        <v/>
      </c>
      <c r="E67" s="16">
        <f>IF(A67&lt;=$B$7,C67-D67,0)</f>
        <v/>
      </c>
      <c r="F67" s="16">
        <f>IF(A67&lt;=$B$7,MAX(0,B67-E67),0)</f>
        <v/>
      </c>
    </row>
    <row r="68" ht="16" customHeight="1">
      <c r="A68" s="17" t="n">
        <v>52</v>
      </c>
      <c r="B68" s="18">
        <f>IF(A68&lt;=$B$7,MAX(0,F67),0)</f>
        <v/>
      </c>
      <c r="C68" s="18">
        <f>IF(A68&lt;=$B$7,$B$10,0)</f>
        <v/>
      </c>
      <c r="D68" s="18">
        <f>IF(A68&lt;=$B$7,B68*$B$5/100,0)</f>
        <v/>
      </c>
      <c r="E68" s="18">
        <f>IF(A68&lt;=$B$7,C68-D68,0)</f>
        <v/>
      </c>
      <c r="F68" s="18">
        <f>IF(A68&lt;=$B$7,MAX(0,B68-E68),0)</f>
        <v/>
      </c>
    </row>
    <row r="69" ht="16" customHeight="1">
      <c r="A69" s="15" t="n">
        <v>53</v>
      </c>
      <c r="B69" s="16">
        <f>IF(A69&lt;=$B$7,MAX(0,F68),0)</f>
        <v/>
      </c>
      <c r="C69" s="16">
        <f>IF(A69&lt;=$B$7,$B$10,0)</f>
        <v/>
      </c>
      <c r="D69" s="16">
        <f>IF(A69&lt;=$B$7,B69*$B$5/100,0)</f>
        <v/>
      </c>
      <c r="E69" s="16">
        <f>IF(A69&lt;=$B$7,C69-D69,0)</f>
        <v/>
      </c>
      <c r="F69" s="16">
        <f>IF(A69&lt;=$B$7,MAX(0,B69-E69),0)</f>
        <v/>
      </c>
    </row>
    <row r="70" ht="16" customHeight="1">
      <c r="A70" s="17" t="n">
        <v>54</v>
      </c>
      <c r="B70" s="18">
        <f>IF(A70&lt;=$B$7,MAX(0,F69),0)</f>
        <v/>
      </c>
      <c r="C70" s="18">
        <f>IF(A70&lt;=$B$7,$B$10,0)</f>
        <v/>
      </c>
      <c r="D70" s="18">
        <f>IF(A70&lt;=$B$7,B70*$B$5/100,0)</f>
        <v/>
      </c>
      <c r="E70" s="18">
        <f>IF(A70&lt;=$B$7,C70-D70,0)</f>
        <v/>
      </c>
      <c r="F70" s="18">
        <f>IF(A70&lt;=$B$7,MAX(0,B70-E70),0)</f>
        <v/>
      </c>
    </row>
    <row r="71" ht="16" customHeight="1">
      <c r="A71" s="15" t="n">
        <v>55</v>
      </c>
      <c r="B71" s="16">
        <f>IF(A71&lt;=$B$7,MAX(0,F70),0)</f>
        <v/>
      </c>
      <c r="C71" s="16">
        <f>IF(A71&lt;=$B$7,$B$10,0)</f>
        <v/>
      </c>
      <c r="D71" s="16">
        <f>IF(A71&lt;=$B$7,B71*$B$5/100,0)</f>
        <v/>
      </c>
      <c r="E71" s="16">
        <f>IF(A71&lt;=$B$7,C71-D71,0)</f>
        <v/>
      </c>
      <c r="F71" s="16">
        <f>IF(A71&lt;=$B$7,MAX(0,B71-E71),0)</f>
        <v/>
      </c>
    </row>
    <row r="72" ht="16" customHeight="1">
      <c r="A72" s="17" t="n">
        <v>56</v>
      </c>
      <c r="B72" s="18">
        <f>IF(A72&lt;=$B$7,MAX(0,F71),0)</f>
        <v/>
      </c>
      <c r="C72" s="18">
        <f>IF(A72&lt;=$B$7,$B$10,0)</f>
        <v/>
      </c>
      <c r="D72" s="18">
        <f>IF(A72&lt;=$B$7,B72*$B$5/100,0)</f>
        <v/>
      </c>
      <c r="E72" s="18">
        <f>IF(A72&lt;=$B$7,C72-D72,0)</f>
        <v/>
      </c>
      <c r="F72" s="18">
        <f>IF(A72&lt;=$B$7,MAX(0,B72-E72),0)</f>
        <v/>
      </c>
    </row>
    <row r="73" ht="16" customHeight="1">
      <c r="A73" s="15" t="n">
        <v>57</v>
      </c>
      <c r="B73" s="16">
        <f>IF(A73&lt;=$B$7,MAX(0,F72),0)</f>
        <v/>
      </c>
      <c r="C73" s="16">
        <f>IF(A73&lt;=$B$7,$B$10,0)</f>
        <v/>
      </c>
      <c r="D73" s="16">
        <f>IF(A73&lt;=$B$7,B73*$B$5/100,0)</f>
        <v/>
      </c>
      <c r="E73" s="16">
        <f>IF(A73&lt;=$B$7,C73-D73,0)</f>
        <v/>
      </c>
      <c r="F73" s="16">
        <f>IF(A73&lt;=$B$7,MAX(0,B73-E73),0)</f>
        <v/>
      </c>
    </row>
    <row r="74" ht="16" customHeight="1">
      <c r="A74" s="17" t="n">
        <v>58</v>
      </c>
      <c r="B74" s="18">
        <f>IF(A74&lt;=$B$7,MAX(0,F73),0)</f>
        <v/>
      </c>
      <c r="C74" s="18">
        <f>IF(A74&lt;=$B$7,$B$10,0)</f>
        <v/>
      </c>
      <c r="D74" s="18">
        <f>IF(A74&lt;=$B$7,B74*$B$5/100,0)</f>
        <v/>
      </c>
      <c r="E74" s="18">
        <f>IF(A74&lt;=$B$7,C74-D74,0)</f>
        <v/>
      </c>
      <c r="F74" s="18">
        <f>IF(A74&lt;=$B$7,MAX(0,B74-E74),0)</f>
        <v/>
      </c>
    </row>
    <row r="75" ht="16" customHeight="1">
      <c r="A75" s="15" t="n">
        <v>59</v>
      </c>
      <c r="B75" s="16">
        <f>IF(A75&lt;=$B$7,MAX(0,F74),0)</f>
        <v/>
      </c>
      <c r="C75" s="16">
        <f>IF(A75&lt;=$B$7,$B$10,0)</f>
        <v/>
      </c>
      <c r="D75" s="16">
        <f>IF(A75&lt;=$B$7,B75*$B$5/100,0)</f>
        <v/>
      </c>
      <c r="E75" s="16">
        <f>IF(A75&lt;=$B$7,C75-D75,0)</f>
        <v/>
      </c>
      <c r="F75" s="16">
        <f>IF(A75&lt;=$B$7,MAX(0,B75-E75),0)</f>
        <v/>
      </c>
    </row>
    <row r="76" ht="16" customHeight="1">
      <c r="A76" s="17" t="n">
        <v>60</v>
      </c>
      <c r="B76" s="18">
        <f>IF(A76&lt;=$B$7,MAX(0,F75),0)</f>
        <v/>
      </c>
      <c r="C76" s="18">
        <f>IF(A76&lt;=$B$7,$B$10,0)</f>
        <v/>
      </c>
      <c r="D76" s="18">
        <f>IF(A76&lt;=$B$7,B76*$B$5/100,0)</f>
        <v/>
      </c>
      <c r="E76" s="18">
        <f>IF(A76&lt;=$B$7,C76-D76,0)</f>
        <v/>
      </c>
      <c r="F76" s="18">
        <f>IF(A76&lt;=$B$7,MAX(0,B76-E76),0)</f>
        <v/>
      </c>
    </row>
    <row r="77" ht="16" customHeight="1">
      <c r="A77" s="15" t="n">
        <v>61</v>
      </c>
      <c r="B77" s="16">
        <f>IF(A77&lt;=$B$7,MAX(0,F76),0)</f>
        <v/>
      </c>
      <c r="C77" s="16">
        <f>IF(A77&lt;=$B$7,$B$10,0)</f>
        <v/>
      </c>
      <c r="D77" s="16">
        <f>IF(A77&lt;=$B$7,B77*$B$5/100,0)</f>
        <v/>
      </c>
      <c r="E77" s="16">
        <f>IF(A77&lt;=$B$7,C77-D77,0)</f>
        <v/>
      </c>
      <c r="F77" s="16">
        <f>IF(A77&lt;=$B$7,MAX(0,B77-E77),0)</f>
        <v/>
      </c>
    </row>
    <row r="78" ht="16" customHeight="1">
      <c r="A78" s="17" t="n">
        <v>62</v>
      </c>
      <c r="B78" s="18">
        <f>IF(A78&lt;=$B$7,MAX(0,F77),0)</f>
        <v/>
      </c>
      <c r="C78" s="18">
        <f>IF(A78&lt;=$B$7,$B$10,0)</f>
        <v/>
      </c>
      <c r="D78" s="18">
        <f>IF(A78&lt;=$B$7,B78*$B$5/100,0)</f>
        <v/>
      </c>
      <c r="E78" s="18">
        <f>IF(A78&lt;=$B$7,C78-D78,0)</f>
        <v/>
      </c>
      <c r="F78" s="18">
        <f>IF(A78&lt;=$B$7,MAX(0,B78-E78),0)</f>
        <v/>
      </c>
    </row>
    <row r="79" ht="16" customHeight="1">
      <c r="A79" s="15" t="n">
        <v>63</v>
      </c>
      <c r="B79" s="16">
        <f>IF(A79&lt;=$B$7,MAX(0,F78),0)</f>
        <v/>
      </c>
      <c r="C79" s="16">
        <f>IF(A79&lt;=$B$7,$B$10,0)</f>
        <v/>
      </c>
      <c r="D79" s="16">
        <f>IF(A79&lt;=$B$7,B79*$B$5/100,0)</f>
        <v/>
      </c>
      <c r="E79" s="16">
        <f>IF(A79&lt;=$B$7,C79-D79,0)</f>
        <v/>
      </c>
      <c r="F79" s="16">
        <f>IF(A79&lt;=$B$7,MAX(0,B79-E79),0)</f>
        <v/>
      </c>
    </row>
    <row r="80" ht="16" customHeight="1">
      <c r="A80" s="17" t="n">
        <v>64</v>
      </c>
      <c r="B80" s="18">
        <f>IF(A80&lt;=$B$7,MAX(0,F79),0)</f>
        <v/>
      </c>
      <c r="C80" s="18">
        <f>IF(A80&lt;=$B$7,$B$10,0)</f>
        <v/>
      </c>
      <c r="D80" s="18">
        <f>IF(A80&lt;=$B$7,B80*$B$5/100,0)</f>
        <v/>
      </c>
      <c r="E80" s="18">
        <f>IF(A80&lt;=$B$7,C80-D80,0)</f>
        <v/>
      </c>
      <c r="F80" s="18">
        <f>IF(A80&lt;=$B$7,MAX(0,B80-E80),0)</f>
        <v/>
      </c>
    </row>
    <row r="81" ht="16" customHeight="1">
      <c r="A81" s="15" t="n">
        <v>65</v>
      </c>
      <c r="B81" s="16">
        <f>IF(A81&lt;=$B$7,MAX(0,F80),0)</f>
        <v/>
      </c>
      <c r="C81" s="16">
        <f>IF(A81&lt;=$B$7,$B$10,0)</f>
        <v/>
      </c>
      <c r="D81" s="16">
        <f>IF(A81&lt;=$B$7,B81*$B$5/100,0)</f>
        <v/>
      </c>
      <c r="E81" s="16">
        <f>IF(A81&lt;=$B$7,C81-D81,0)</f>
        <v/>
      </c>
      <c r="F81" s="16">
        <f>IF(A81&lt;=$B$7,MAX(0,B81-E81),0)</f>
        <v/>
      </c>
    </row>
    <row r="82" ht="16" customHeight="1">
      <c r="A82" s="17" t="n">
        <v>66</v>
      </c>
      <c r="B82" s="18">
        <f>IF(A82&lt;=$B$7,MAX(0,F81),0)</f>
        <v/>
      </c>
      <c r="C82" s="18">
        <f>IF(A82&lt;=$B$7,$B$10,0)</f>
        <v/>
      </c>
      <c r="D82" s="18">
        <f>IF(A82&lt;=$B$7,B82*$B$5/100,0)</f>
        <v/>
      </c>
      <c r="E82" s="18">
        <f>IF(A82&lt;=$B$7,C82-D82,0)</f>
        <v/>
      </c>
      <c r="F82" s="18">
        <f>IF(A82&lt;=$B$7,MAX(0,B82-E82),0)</f>
        <v/>
      </c>
    </row>
    <row r="83" ht="16" customHeight="1">
      <c r="A83" s="15" t="n">
        <v>67</v>
      </c>
      <c r="B83" s="16">
        <f>IF(A83&lt;=$B$7,MAX(0,F82),0)</f>
        <v/>
      </c>
      <c r="C83" s="16">
        <f>IF(A83&lt;=$B$7,$B$10,0)</f>
        <v/>
      </c>
      <c r="D83" s="16">
        <f>IF(A83&lt;=$B$7,B83*$B$5/100,0)</f>
        <v/>
      </c>
      <c r="E83" s="16">
        <f>IF(A83&lt;=$B$7,C83-D83,0)</f>
        <v/>
      </c>
      <c r="F83" s="16">
        <f>IF(A83&lt;=$B$7,MAX(0,B83-E83),0)</f>
        <v/>
      </c>
    </row>
    <row r="84" ht="16" customHeight="1">
      <c r="A84" s="17" t="n">
        <v>68</v>
      </c>
      <c r="B84" s="18">
        <f>IF(A84&lt;=$B$7,MAX(0,F83),0)</f>
        <v/>
      </c>
      <c r="C84" s="18">
        <f>IF(A84&lt;=$B$7,$B$10,0)</f>
        <v/>
      </c>
      <c r="D84" s="18">
        <f>IF(A84&lt;=$B$7,B84*$B$5/100,0)</f>
        <v/>
      </c>
      <c r="E84" s="18">
        <f>IF(A84&lt;=$B$7,C84-D84,0)</f>
        <v/>
      </c>
      <c r="F84" s="18">
        <f>IF(A84&lt;=$B$7,MAX(0,B84-E84),0)</f>
        <v/>
      </c>
    </row>
    <row r="85" ht="16" customHeight="1">
      <c r="A85" s="15" t="n">
        <v>69</v>
      </c>
      <c r="B85" s="16">
        <f>IF(A85&lt;=$B$7,MAX(0,F84),0)</f>
        <v/>
      </c>
      <c r="C85" s="16">
        <f>IF(A85&lt;=$B$7,$B$10,0)</f>
        <v/>
      </c>
      <c r="D85" s="16">
        <f>IF(A85&lt;=$B$7,B85*$B$5/100,0)</f>
        <v/>
      </c>
      <c r="E85" s="16">
        <f>IF(A85&lt;=$B$7,C85-D85,0)</f>
        <v/>
      </c>
      <c r="F85" s="16">
        <f>IF(A85&lt;=$B$7,MAX(0,B85-E85),0)</f>
        <v/>
      </c>
    </row>
    <row r="86" ht="16" customHeight="1">
      <c r="A86" s="17" t="n">
        <v>70</v>
      </c>
      <c r="B86" s="18">
        <f>IF(A86&lt;=$B$7,MAX(0,F85),0)</f>
        <v/>
      </c>
      <c r="C86" s="18">
        <f>IF(A86&lt;=$B$7,$B$10,0)</f>
        <v/>
      </c>
      <c r="D86" s="18">
        <f>IF(A86&lt;=$B$7,B86*$B$5/100,0)</f>
        <v/>
      </c>
      <c r="E86" s="18">
        <f>IF(A86&lt;=$B$7,C86-D86,0)</f>
        <v/>
      </c>
      <c r="F86" s="18">
        <f>IF(A86&lt;=$B$7,MAX(0,B86-E86),0)</f>
        <v/>
      </c>
    </row>
    <row r="87" ht="16" customHeight="1">
      <c r="A87" s="15" t="n">
        <v>71</v>
      </c>
      <c r="B87" s="16">
        <f>IF(A87&lt;=$B$7,MAX(0,F86),0)</f>
        <v/>
      </c>
      <c r="C87" s="16">
        <f>IF(A87&lt;=$B$7,$B$10,0)</f>
        <v/>
      </c>
      <c r="D87" s="16">
        <f>IF(A87&lt;=$B$7,B87*$B$5/100,0)</f>
        <v/>
      </c>
      <c r="E87" s="16">
        <f>IF(A87&lt;=$B$7,C87-D87,0)</f>
        <v/>
      </c>
      <c r="F87" s="16">
        <f>IF(A87&lt;=$B$7,MAX(0,B87-E87),0)</f>
        <v/>
      </c>
    </row>
    <row r="88" ht="16" customHeight="1">
      <c r="A88" s="17" t="n">
        <v>72</v>
      </c>
      <c r="B88" s="18">
        <f>IF(A88&lt;=$B$7,MAX(0,F87),0)</f>
        <v/>
      </c>
      <c r="C88" s="18">
        <f>IF(A88&lt;=$B$7,$B$10,0)</f>
        <v/>
      </c>
      <c r="D88" s="18">
        <f>IF(A88&lt;=$B$7,B88*$B$5/100,0)</f>
        <v/>
      </c>
      <c r="E88" s="18">
        <f>IF(A88&lt;=$B$7,C88-D88,0)</f>
        <v/>
      </c>
      <c r="F88" s="18">
        <f>IF(A88&lt;=$B$7,MAX(0,B88-E88),0)</f>
        <v/>
      </c>
    </row>
    <row r="89" ht="16" customHeight="1">
      <c r="A89" s="15" t="n">
        <v>73</v>
      </c>
      <c r="B89" s="16">
        <f>IF(A89&lt;=$B$7,MAX(0,F88),0)</f>
        <v/>
      </c>
      <c r="C89" s="16">
        <f>IF(A89&lt;=$B$7,$B$10,0)</f>
        <v/>
      </c>
      <c r="D89" s="16">
        <f>IF(A89&lt;=$B$7,B89*$B$5/100,0)</f>
        <v/>
      </c>
      <c r="E89" s="16">
        <f>IF(A89&lt;=$B$7,C89-D89,0)</f>
        <v/>
      </c>
      <c r="F89" s="16">
        <f>IF(A89&lt;=$B$7,MAX(0,B89-E89),0)</f>
        <v/>
      </c>
    </row>
    <row r="90" ht="16" customHeight="1">
      <c r="A90" s="17" t="n">
        <v>74</v>
      </c>
      <c r="B90" s="18">
        <f>IF(A90&lt;=$B$7,MAX(0,F89),0)</f>
        <v/>
      </c>
      <c r="C90" s="18">
        <f>IF(A90&lt;=$B$7,$B$10,0)</f>
        <v/>
      </c>
      <c r="D90" s="18">
        <f>IF(A90&lt;=$B$7,B90*$B$5/100,0)</f>
        <v/>
      </c>
      <c r="E90" s="18">
        <f>IF(A90&lt;=$B$7,C90-D90,0)</f>
        <v/>
      </c>
      <c r="F90" s="18">
        <f>IF(A90&lt;=$B$7,MAX(0,B90-E90),0)</f>
        <v/>
      </c>
    </row>
    <row r="91" ht="16" customHeight="1">
      <c r="A91" s="15" t="n">
        <v>75</v>
      </c>
      <c r="B91" s="16">
        <f>IF(A91&lt;=$B$7,MAX(0,F90),0)</f>
        <v/>
      </c>
      <c r="C91" s="16">
        <f>IF(A91&lt;=$B$7,$B$10,0)</f>
        <v/>
      </c>
      <c r="D91" s="16">
        <f>IF(A91&lt;=$B$7,B91*$B$5/100,0)</f>
        <v/>
      </c>
      <c r="E91" s="16">
        <f>IF(A91&lt;=$B$7,C91-D91,0)</f>
        <v/>
      </c>
      <c r="F91" s="16">
        <f>IF(A91&lt;=$B$7,MAX(0,B91-E91),0)</f>
        <v/>
      </c>
    </row>
    <row r="92" ht="16" customHeight="1">
      <c r="A92" s="17" t="n">
        <v>76</v>
      </c>
      <c r="B92" s="18">
        <f>IF(A92&lt;=$B$7,MAX(0,F91),0)</f>
        <v/>
      </c>
      <c r="C92" s="18">
        <f>IF(A92&lt;=$B$7,$B$10,0)</f>
        <v/>
      </c>
      <c r="D92" s="18">
        <f>IF(A92&lt;=$B$7,B92*$B$5/100,0)</f>
        <v/>
      </c>
      <c r="E92" s="18">
        <f>IF(A92&lt;=$B$7,C92-D92,0)</f>
        <v/>
      </c>
      <c r="F92" s="18">
        <f>IF(A92&lt;=$B$7,MAX(0,B92-E92),0)</f>
        <v/>
      </c>
    </row>
    <row r="93" ht="16" customHeight="1">
      <c r="A93" s="15" t="n">
        <v>77</v>
      </c>
      <c r="B93" s="16">
        <f>IF(A93&lt;=$B$7,MAX(0,F92),0)</f>
        <v/>
      </c>
      <c r="C93" s="16">
        <f>IF(A93&lt;=$B$7,$B$10,0)</f>
        <v/>
      </c>
      <c r="D93" s="16">
        <f>IF(A93&lt;=$B$7,B93*$B$5/100,0)</f>
        <v/>
      </c>
      <c r="E93" s="16">
        <f>IF(A93&lt;=$B$7,C93-D93,0)</f>
        <v/>
      </c>
      <c r="F93" s="16">
        <f>IF(A93&lt;=$B$7,MAX(0,B93-E93),0)</f>
        <v/>
      </c>
    </row>
    <row r="94" ht="16" customHeight="1">
      <c r="A94" s="17" t="n">
        <v>78</v>
      </c>
      <c r="B94" s="18">
        <f>IF(A94&lt;=$B$7,MAX(0,F93),0)</f>
        <v/>
      </c>
      <c r="C94" s="18">
        <f>IF(A94&lt;=$B$7,$B$10,0)</f>
        <v/>
      </c>
      <c r="D94" s="18">
        <f>IF(A94&lt;=$B$7,B94*$B$5/100,0)</f>
        <v/>
      </c>
      <c r="E94" s="18">
        <f>IF(A94&lt;=$B$7,C94-D94,0)</f>
        <v/>
      </c>
      <c r="F94" s="18">
        <f>IF(A94&lt;=$B$7,MAX(0,B94-E94),0)</f>
        <v/>
      </c>
    </row>
    <row r="95" ht="16" customHeight="1">
      <c r="A95" s="15" t="n">
        <v>79</v>
      </c>
      <c r="B95" s="16">
        <f>IF(A95&lt;=$B$7,MAX(0,F94),0)</f>
        <v/>
      </c>
      <c r="C95" s="16">
        <f>IF(A95&lt;=$B$7,$B$10,0)</f>
        <v/>
      </c>
      <c r="D95" s="16">
        <f>IF(A95&lt;=$B$7,B95*$B$5/100,0)</f>
        <v/>
      </c>
      <c r="E95" s="16">
        <f>IF(A95&lt;=$B$7,C95-D95,0)</f>
        <v/>
      </c>
      <c r="F95" s="16">
        <f>IF(A95&lt;=$B$7,MAX(0,B95-E95),0)</f>
        <v/>
      </c>
    </row>
    <row r="96" ht="16" customHeight="1">
      <c r="A96" s="17" t="n">
        <v>80</v>
      </c>
      <c r="B96" s="18">
        <f>IF(A96&lt;=$B$7,MAX(0,F95),0)</f>
        <v/>
      </c>
      <c r="C96" s="18">
        <f>IF(A96&lt;=$B$7,$B$10,0)</f>
        <v/>
      </c>
      <c r="D96" s="18">
        <f>IF(A96&lt;=$B$7,B96*$B$5/100,0)</f>
        <v/>
      </c>
      <c r="E96" s="18">
        <f>IF(A96&lt;=$B$7,C96-D96,0)</f>
        <v/>
      </c>
      <c r="F96" s="18">
        <f>IF(A96&lt;=$B$7,MAX(0,B96-E96),0)</f>
        <v/>
      </c>
    </row>
    <row r="97" ht="16" customHeight="1">
      <c r="A97" s="15" t="n">
        <v>81</v>
      </c>
      <c r="B97" s="16">
        <f>IF(A97&lt;=$B$7,MAX(0,F96),0)</f>
        <v/>
      </c>
      <c r="C97" s="16">
        <f>IF(A97&lt;=$B$7,$B$10,0)</f>
        <v/>
      </c>
      <c r="D97" s="16">
        <f>IF(A97&lt;=$B$7,B97*$B$5/100,0)</f>
        <v/>
      </c>
      <c r="E97" s="16">
        <f>IF(A97&lt;=$B$7,C97-D97,0)</f>
        <v/>
      </c>
      <c r="F97" s="16">
        <f>IF(A97&lt;=$B$7,MAX(0,B97-E97),0)</f>
        <v/>
      </c>
    </row>
    <row r="98" ht="16" customHeight="1">
      <c r="A98" s="17" t="n">
        <v>82</v>
      </c>
      <c r="B98" s="18">
        <f>IF(A98&lt;=$B$7,MAX(0,F97),0)</f>
        <v/>
      </c>
      <c r="C98" s="18">
        <f>IF(A98&lt;=$B$7,$B$10,0)</f>
        <v/>
      </c>
      <c r="D98" s="18">
        <f>IF(A98&lt;=$B$7,B98*$B$5/100,0)</f>
        <v/>
      </c>
      <c r="E98" s="18">
        <f>IF(A98&lt;=$B$7,C98-D98,0)</f>
        <v/>
      </c>
      <c r="F98" s="18">
        <f>IF(A98&lt;=$B$7,MAX(0,B98-E98),0)</f>
        <v/>
      </c>
    </row>
    <row r="99" ht="16" customHeight="1">
      <c r="A99" s="15" t="n">
        <v>83</v>
      </c>
      <c r="B99" s="16">
        <f>IF(A99&lt;=$B$7,MAX(0,F98),0)</f>
        <v/>
      </c>
      <c r="C99" s="16">
        <f>IF(A99&lt;=$B$7,$B$10,0)</f>
        <v/>
      </c>
      <c r="D99" s="16">
        <f>IF(A99&lt;=$B$7,B99*$B$5/100,0)</f>
        <v/>
      </c>
      <c r="E99" s="16">
        <f>IF(A99&lt;=$B$7,C99-D99,0)</f>
        <v/>
      </c>
      <c r="F99" s="16">
        <f>IF(A99&lt;=$B$7,MAX(0,B99-E99),0)</f>
        <v/>
      </c>
    </row>
    <row r="100" ht="16" customHeight="1">
      <c r="A100" s="17" t="n">
        <v>84</v>
      </c>
      <c r="B100" s="18">
        <f>IF(A100&lt;=$B$7,MAX(0,F99),0)</f>
        <v/>
      </c>
      <c r="C100" s="18">
        <f>IF(A100&lt;=$B$7,$B$10,0)</f>
        <v/>
      </c>
      <c r="D100" s="18">
        <f>IF(A100&lt;=$B$7,B100*$B$5/100,0)</f>
        <v/>
      </c>
      <c r="E100" s="18">
        <f>IF(A100&lt;=$B$7,C100-D100,0)</f>
        <v/>
      </c>
      <c r="F100" s="18">
        <f>IF(A100&lt;=$B$7,MAX(0,B100-E100),0)</f>
        <v/>
      </c>
    </row>
    <row r="102">
      <c r="A102" s="19" t="inlineStr">
        <is>
          <t xml:space="preserve">  Celdas amarillas → entrada manual  |  Celdas verdes → calculadas automáticamente</t>
        </is>
      </c>
    </row>
  </sheetData>
  <mergeCells count="5">
    <mergeCell ref="A102:F102"/>
    <mergeCell ref="A1:F1"/>
    <mergeCell ref="A9:F9"/>
    <mergeCell ref="A3:F3"/>
    <mergeCell ref="A15:F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2026-08-02T15:56:50Z</dcterms:created>
  <dcterms:modified xsi:type="dcterms:W3CDTF">2026-08-02T15:56:50Z</dcterms:modified>
</cp:coreProperties>
</file>
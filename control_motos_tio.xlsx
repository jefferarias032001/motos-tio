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FER\Desktop\control-motos-tio\"/>
    </mc:Choice>
  </mc:AlternateContent>
  <xr:revisionPtr revIDLastSave="0" documentId="13_ncr:1_{5EF97960-2560-4C22-A127-1323FB6B4F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lientes" sheetId="1" r:id="rId1"/>
    <sheet name="Registro Diario" sheetId="2" r:id="rId2"/>
    <sheet name="Hoja1" sheetId="4" r:id="rId3"/>
    <sheet name="Simulador" sheetId="3" r:id="rId4"/>
  </sheets>
  <definedNames>
    <definedName name="_xlnm._FilterDatabase" localSheetId="1" hidden="1">'Registro Diario'!$A$1:$D$1158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4" l="1"/>
  <c r="B122" i="3"/>
  <c r="B123" i="3" s="1"/>
  <c r="B121" i="3"/>
  <c r="B113" i="3"/>
  <c r="B114" i="3" s="1"/>
  <c r="B112" i="3"/>
  <c r="F100" i="3"/>
  <c r="E100" i="3"/>
  <c r="D100" i="3"/>
  <c r="C100" i="3"/>
  <c r="B100" i="3"/>
  <c r="F99" i="3"/>
  <c r="E99" i="3"/>
  <c r="D99" i="3"/>
  <c r="C99" i="3"/>
  <c r="B99" i="3"/>
  <c r="F98" i="3"/>
  <c r="E98" i="3"/>
  <c r="D98" i="3"/>
  <c r="C98" i="3"/>
  <c r="B98" i="3"/>
  <c r="F97" i="3"/>
  <c r="E97" i="3"/>
  <c r="D97" i="3"/>
  <c r="C97" i="3"/>
  <c r="B97" i="3"/>
  <c r="F96" i="3"/>
  <c r="E96" i="3"/>
  <c r="D96" i="3"/>
  <c r="C96" i="3"/>
  <c r="B96" i="3"/>
  <c r="F95" i="3"/>
  <c r="E95" i="3"/>
  <c r="D95" i="3"/>
  <c r="C95" i="3"/>
  <c r="B95" i="3"/>
  <c r="F94" i="3"/>
  <c r="E94" i="3"/>
  <c r="D94" i="3"/>
  <c r="C94" i="3"/>
  <c r="B94" i="3"/>
  <c r="F93" i="3"/>
  <c r="E93" i="3"/>
  <c r="D93" i="3"/>
  <c r="C93" i="3"/>
  <c r="B93" i="3"/>
  <c r="F92" i="3"/>
  <c r="E92" i="3"/>
  <c r="D92" i="3"/>
  <c r="C92" i="3"/>
  <c r="B92" i="3"/>
  <c r="F91" i="3"/>
  <c r="E91" i="3"/>
  <c r="D91" i="3"/>
  <c r="C91" i="3"/>
  <c r="B91" i="3"/>
  <c r="F90" i="3"/>
  <c r="E90" i="3"/>
  <c r="D90" i="3"/>
  <c r="C90" i="3"/>
  <c r="B90" i="3"/>
  <c r="F89" i="3"/>
  <c r="E89" i="3"/>
  <c r="D89" i="3"/>
  <c r="C89" i="3"/>
  <c r="B89" i="3"/>
  <c r="F88" i="3"/>
  <c r="E88" i="3"/>
  <c r="D88" i="3"/>
  <c r="C88" i="3"/>
  <c r="B88" i="3"/>
  <c r="F87" i="3"/>
  <c r="E87" i="3"/>
  <c r="D87" i="3"/>
  <c r="C87" i="3"/>
  <c r="B87" i="3"/>
  <c r="F86" i="3"/>
  <c r="E86" i="3"/>
  <c r="D86" i="3"/>
  <c r="C86" i="3"/>
  <c r="B86" i="3"/>
  <c r="F85" i="3"/>
  <c r="E85" i="3"/>
  <c r="D85" i="3"/>
  <c r="C85" i="3"/>
  <c r="B85" i="3"/>
  <c r="F84" i="3"/>
  <c r="E84" i="3"/>
  <c r="D84" i="3"/>
  <c r="C84" i="3"/>
  <c r="B84" i="3"/>
  <c r="F83" i="3"/>
  <c r="E83" i="3"/>
  <c r="D83" i="3"/>
  <c r="C83" i="3"/>
  <c r="B83" i="3"/>
  <c r="F82" i="3"/>
  <c r="E82" i="3"/>
  <c r="D82" i="3"/>
  <c r="C82" i="3"/>
  <c r="B82" i="3"/>
  <c r="F81" i="3"/>
  <c r="E81" i="3"/>
  <c r="D81" i="3"/>
  <c r="C81" i="3"/>
  <c r="B81" i="3"/>
  <c r="F80" i="3"/>
  <c r="E80" i="3"/>
  <c r="D80" i="3"/>
  <c r="C80" i="3"/>
  <c r="B80" i="3"/>
  <c r="F79" i="3"/>
  <c r="E79" i="3"/>
  <c r="D79" i="3"/>
  <c r="C79" i="3"/>
  <c r="B79" i="3"/>
  <c r="F78" i="3"/>
  <c r="E78" i="3"/>
  <c r="D78" i="3"/>
  <c r="C78" i="3"/>
  <c r="B78" i="3"/>
  <c r="F77" i="3"/>
  <c r="E77" i="3"/>
  <c r="D77" i="3"/>
  <c r="C77" i="3"/>
  <c r="B77" i="3"/>
  <c r="F76" i="3"/>
  <c r="E76" i="3"/>
  <c r="D76" i="3"/>
  <c r="C76" i="3"/>
  <c r="B76" i="3"/>
  <c r="F75" i="3"/>
  <c r="E75" i="3"/>
  <c r="D75" i="3"/>
  <c r="C75" i="3"/>
  <c r="B75" i="3"/>
  <c r="F74" i="3"/>
  <c r="E74" i="3"/>
  <c r="D74" i="3"/>
  <c r="C74" i="3"/>
  <c r="B74" i="3"/>
  <c r="F73" i="3"/>
  <c r="E73" i="3"/>
  <c r="D73" i="3"/>
  <c r="C73" i="3"/>
  <c r="B73" i="3"/>
  <c r="F72" i="3"/>
  <c r="E72" i="3"/>
  <c r="D72" i="3"/>
  <c r="C72" i="3"/>
  <c r="B72" i="3"/>
  <c r="F71" i="3"/>
  <c r="E71" i="3"/>
  <c r="D71" i="3"/>
  <c r="C71" i="3"/>
  <c r="B71" i="3"/>
  <c r="F70" i="3"/>
  <c r="E70" i="3"/>
  <c r="D70" i="3"/>
  <c r="C70" i="3"/>
  <c r="B70" i="3"/>
  <c r="F69" i="3"/>
  <c r="E69" i="3"/>
  <c r="D69" i="3"/>
  <c r="C69" i="3"/>
  <c r="B69" i="3"/>
  <c r="F68" i="3"/>
  <c r="E68" i="3"/>
  <c r="D68" i="3"/>
  <c r="C68" i="3"/>
  <c r="B68" i="3"/>
  <c r="F67" i="3"/>
  <c r="E67" i="3"/>
  <c r="D67" i="3"/>
  <c r="C67" i="3"/>
  <c r="B67" i="3"/>
  <c r="F66" i="3"/>
  <c r="E66" i="3"/>
  <c r="D66" i="3"/>
  <c r="C66" i="3"/>
  <c r="B66" i="3"/>
  <c r="F65" i="3"/>
  <c r="E65" i="3"/>
  <c r="D65" i="3"/>
  <c r="C65" i="3"/>
  <c r="B65" i="3"/>
  <c r="F64" i="3"/>
  <c r="E64" i="3"/>
  <c r="D64" i="3"/>
  <c r="C64" i="3"/>
  <c r="B64" i="3"/>
  <c r="F63" i="3"/>
  <c r="E63" i="3"/>
  <c r="D63" i="3"/>
  <c r="C63" i="3"/>
  <c r="B63" i="3"/>
  <c r="F62" i="3"/>
  <c r="E62" i="3"/>
  <c r="D62" i="3"/>
  <c r="C62" i="3"/>
  <c r="B62" i="3"/>
  <c r="F61" i="3"/>
  <c r="E61" i="3"/>
  <c r="D61" i="3"/>
  <c r="C61" i="3"/>
  <c r="B61" i="3"/>
  <c r="F60" i="3"/>
  <c r="E60" i="3"/>
  <c r="D60" i="3"/>
  <c r="C60" i="3"/>
  <c r="B60" i="3"/>
  <c r="F59" i="3"/>
  <c r="E59" i="3"/>
  <c r="D59" i="3"/>
  <c r="C59" i="3"/>
  <c r="B59" i="3"/>
  <c r="F58" i="3"/>
  <c r="E58" i="3"/>
  <c r="D58" i="3"/>
  <c r="C58" i="3"/>
  <c r="B58" i="3"/>
  <c r="F57" i="3"/>
  <c r="E57" i="3"/>
  <c r="D57" i="3"/>
  <c r="C57" i="3"/>
  <c r="B57" i="3"/>
  <c r="F56" i="3"/>
  <c r="E56" i="3"/>
  <c r="D56" i="3"/>
  <c r="C56" i="3"/>
  <c r="B56" i="3"/>
  <c r="F55" i="3"/>
  <c r="E55" i="3"/>
  <c r="D55" i="3"/>
  <c r="C55" i="3"/>
  <c r="B55" i="3"/>
  <c r="F54" i="3"/>
  <c r="E54" i="3"/>
  <c r="D54" i="3"/>
  <c r="C54" i="3"/>
  <c r="B54" i="3"/>
  <c r="F53" i="3"/>
  <c r="E53" i="3"/>
  <c r="D53" i="3"/>
  <c r="C53" i="3"/>
  <c r="B53" i="3"/>
  <c r="F52" i="3"/>
  <c r="E52" i="3"/>
  <c r="D52" i="3"/>
  <c r="C52" i="3"/>
  <c r="B52" i="3"/>
  <c r="F51" i="3"/>
  <c r="E51" i="3"/>
  <c r="D51" i="3"/>
  <c r="C51" i="3"/>
  <c r="B51" i="3"/>
  <c r="F50" i="3"/>
  <c r="E50" i="3"/>
  <c r="D50" i="3"/>
  <c r="C50" i="3"/>
  <c r="B50" i="3"/>
  <c r="F49" i="3"/>
  <c r="E49" i="3"/>
  <c r="D49" i="3"/>
  <c r="C49" i="3"/>
  <c r="B49" i="3"/>
  <c r="F48" i="3"/>
  <c r="E48" i="3"/>
  <c r="D48" i="3"/>
  <c r="C48" i="3"/>
  <c r="B48" i="3"/>
  <c r="F47" i="3"/>
  <c r="E47" i="3"/>
  <c r="D47" i="3"/>
  <c r="C47" i="3"/>
  <c r="B47" i="3"/>
  <c r="F46" i="3"/>
  <c r="E46" i="3"/>
  <c r="D46" i="3"/>
  <c r="C46" i="3"/>
  <c r="B46" i="3"/>
  <c r="F45" i="3"/>
  <c r="E45" i="3"/>
  <c r="D45" i="3"/>
  <c r="C45" i="3"/>
  <c r="B45" i="3"/>
  <c r="F44" i="3"/>
  <c r="E44" i="3"/>
  <c r="D44" i="3"/>
  <c r="C44" i="3"/>
  <c r="B44" i="3"/>
  <c r="F43" i="3"/>
  <c r="E43" i="3"/>
  <c r="D43" i="3"/>
  <c r="C43" i="3"/>
  <c r="B43" i="3"/>
  <c r="F42" i="3"/>
  <c r="E42" i="3"/>
  <c r="D42" i="3"/>
  <c r="C42" i="3"/>
  <c r="B42" i="3"/>
  <c r="F41" i="3"/>
  <c r="E41" i="3"/>
  <c r="D41" i="3"/>
  <c r="C41" i="3"/>
  <c r="B41" i="3"/>
  <c r="F40" i="3"/>
  <c r="E40" i="3"/>
  <c r="D40" i="3"/>
  <c r="C40" i="3"/>
  <c r="B40" i="3"/>
  <c r="F39" i="3"/>
  <c r="E39" i="3"/>
  <c r="D39" i="3"/>
  <c r="C39" i="3"/>
  <c r="B39" i="3"/>
  <c r="F38" i="3"/>
  <c r="E38" i="3"/>
  <c r="D38" i="3"/>
  <c r="C38" i="3"/>
  <c r="B38" i="3"/>
  <c r="F37" i="3"/>
  <c r="E37" i="3"/>
  <c r="D37" i="3"/>
  <c r="C37" i="3"/>
  <c r="B37" i="3"/>
  <c r="F36" i="3"/>
  <c r="E36" i="3"/>
  <c r="D36" i="3"/>
  <c r="C36" i="3"/>
  <c r="B36" i="3"/>
  <c r="F35" i="3"/>
  <c r="E35" i="3"/>
  <c r="D35" i="3"/>
  <c r="C35" i="3"/>
  <c r="B35" i="3"/>
  <c r="F34" i="3"/>
  <c r="E34" i="3"/>
  <c r="D34" i="3"/>
  <c r="C34" i="3"/>
  <c r="B34" i="3"/>
  <c r="F33" i="3"/>
  <c r="E33" i="3"/>
  <c r="D33" i="3"/>
  <c r="C33" i="3"/>
  <c r="B33" i="3"/>
  <c r="F32" i="3"/>
  <c r="E32" i="3"/>
  <c r="D32" i="3"/>
  <c r="C32" i="3"/>
  <c r="B32" i="3"/>
  <c r="F31" i="3"/>
  <c r="E31" i="3"/>
  <c r="D31" i="3"/>
  <c r="C31" i="3"/>
  <c r="B31" i="3"/>
  <c r="F30" i="3"/>
  <c r="E30" i="3"/>
  <c r="D30" i="3"/>
  <c r="C30" i="3"/>
  <c r="B30" i="3"/>
  <c r="F29" i="3"/>
  <c r="E29" i="3"/>
  <c r="D29" i="3"/>
  <c r="C29" i="3"/>
  <c r="B29" i="3"/>
  <c r="F28" i="3"/>
  <c r="E28" i="3"/>
  <c r="D28" i="3"/>
  <c r="C28" i="3"/>
  <c r="B28" i="3"/>
  <c r="F27" i="3"/>
  <c r="E27" i="3"/>
  <c r="D27" i="3"/>
  <c r="C27" i="3"/>
  <c r="B27" i="3"/>
  <c r="F26" i="3"/>
  <c r="E26" i="3"/>
  <c r="D26" i="3"/>
  <c r="C26" i="3"/>
  <c r="B26" i="3"/>
  <c r="F25" i="3"/>
  <c r="E25" i="3"/>
  <c r="D25" i="3"/>
  <c r="C25" i="3"/>
  <c r="B25" i="3"/>
  <c r="F24" i="3"/>
  <c r="E24" i="3"/>
  <c r="D24" i="3"/>
  <c r="C24" i="3"/>
  <c r="B24" i="3"/>
  <c r="F23" i="3"/>
  <c r="E23" i="3"/>
  <c r="D23" i="3"/>
  <c r="C23" i="3"/>
  <c r="B23" i="3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B13" i="3"/>
  <c r="B10" i="3"/>
  <c r="B11" i="3" s="1"/>
  <c r="B12" i="3" s="1"/>
  <c r="B6" i="3"/>
</calcChain>
</file>

<file path=xl/sharedStrings.xml><?xml version="1.0" encoding="utf-8"?>
<sst xmlns="http://schemas.openxmlformats.org/spreadsheetml/2006/main" count="4852" uniqueCount="203">
  <si>
    <t>Nombre</t>
  </si>
  <si>
    <t>Moto</t>
  </si>
  <si>
    <t>Placa</t>
  </si>
  <si>
    <t>Inicio</t>
  </si>
  <si>
    <t>Observaciones</t>
  </si>
  <si>
    <t>Total Cuotas</t>
  </si>
  <si>
    <t>Dorlys Jose Julio</t>
  </si>
  <si>
    <t>Bajaj EYO 11H</t>
  </si>
  <si>
    <t>EYO11H</t>
  </si>
  <si>
    <t>Tel: 3205376845 | 595000 inicial</t>
  </si>
  <si>
    <t>Elkin Espitia Payares</t>
  </si>
  <si>
    <t>Bajaj EYO 06H</t>
  </si>
  <si>
    <t>EYO06H</t>
  </si>
  <si>
    <t>Tel: 3003xx | 5980000</t>
  </si>
  <si>
    <t>Juan Andres De Arco</t>
  </si>
  <si>
    <t>Bajaj KOO 16H</t>
  </si>
  <si>
    <t>KOO16H</t>
  </si>
  <si>
    <t>Tel: 3202386294 | 5950000 inicial | 63 pagos (1 pendiente)</t>
  </si>
  <si>
    <t>Jorge Luis Reyes</t>
  </si>
  <si>
    <t>Bajaj KOO B1H</t>
  </si>
  <si>
    <t>KOOB1H</t>
  </si>
  <si>
    <t>Tel: 3202841723 / 3005685892 | 5950000 inicial | CONTRATO FINALIZADO</t>
  </si>
  <si>
    <t>Engelo Junior</t>
  </si>
  <si>
    <t>Bajaj UYL 39H</t>
  </si>
  <si>
    <t>UYL39H</t>
  </si>
  <si>
    <t>Tel: 3005685892 | 6806000 inicial | 72 cuotas/18 meses | Moto anterior OYL39H robada, repuesta dic-2025</t>
  </si>
  <si>
    <t>Duvon Enrique</t>
  </si>
  <si>
    <t>Bajaj KEB 58H</t>
  </si>
  <si>
    <t>KEB58H</t>
  </si>
  <si>
    <t>Tel: 3126959090 | 15360000 total | 16 meses | 63 pagos (1 pendiente)</t>
  </si>
  <si>
    <t>Wilmer Ivis</t>
  </si>
  <si>
    <t>Bajaj KEW 23H</t>
  </si>
  <si>
    <t>KEW23H</t>
  </si>
  <si>
    <t>Tel: 3233311964 | 15360000 total | 64 cuotas | 59 pagos (5 pendientes)</t>
  </si>
  <si>
    <t>Jesus Morales Yuliana Olivares</t>
  </si>
  <si>
    <t>Bajaj KFK 1AH</t>
  </si>
  <si>
    <t>KFK1AH</t>
  </si>
  <si>
    <t>Tel: 3465625710 | 17280000 total | 18 meses | 52 pagos (20 pendientes)</t>
  </si>
  <si>
    <t>Osmed Brenda</t>
  </si>
  <si>
    <t>Bajaj OSZ 46H</t>
  </si>
  <si>
    <t>OSZ46H</t>
  </si>
  <si>
    <t>Tel: 3205197351 | 15360000 total | 64 cuotas | 54 pagos (10 pendientes) | ATRASADO 21 dias</t>
  </si>
  <si>
    <t>Chacal Caterine</t>
  </si>
  <si>
    <t>Bajaj OSZ 43H</t>
  </si>
  <si>
    <t>OSZ43H</t>
  </si>
  <si>
    <t>Tel: 3245780119 | 17280000 total | 72 cuotas | 50 pagos (22 pendientes)</t>
  </si>
  <si>
    <t>Wilian Junior Darlis Esther</t>
  </si>
  <si>
    <t>Bajaj OTE 02H</t>
  </si>
  <si>
    <t>OTE02H</t>
  </si>
  <si>
    <t>Tel: 3239896985 | 14400000 total | 60 cuotas | 34 pagos (26 pendientes)</t>
  </si>
  <si>
    <t>Darwin Yaimis Ysabel</t>
  </si>
  <si>
    <t>Bajaj OTE 80H</t>
  </si>
  <si>
    <t>OTE80H</t>
  </si>
  <si>
    <t>15360000 total | 64 cuotas | 54 pagos (10 pendientes)</t>
  </si>
  <si>
    <t>Kevin Rodriguez</t>
  </si>
  <si>
    <t>Bajaj OXO 04H</t>
  </si>
  <si>
    <t>OXO04H</t>
  </si>
  <si>
    <t>20160000 total | 84 cuotas/21 meses | pagos bisemanales | 29 pagos (55 pendientes)</t>
  </si>
  <si>
    <t>Negro Maria Jose</t>
  </si>
  <si>
    <t>Bajaj OTE 68H</t>
  </si>
  <si>
    <t>OTE68H</t>
  </si>
  <si>
    <t>15360000 total | 64 cuotas | 51 pagos (13 pendientes)</t>
  </si>
  <si>
    <t>Sr Pedro</t>
  </si>
  <si>
    <t>Bajaj OTG 82H</t>
  </si>
  <si>
    <t>OTG82H</t>
  </si>
  <si>
    <t>Fotos 27-28 | Ref: Katherin Estor 3137781909 | 69 cuotas | 54 pagos (15 pendientes)</t>
  </si>
  <si>
    <t>Lucho Laura Nosu</t>
  </si>
  <si>
    <t>Bajaj OTF 59H</t>
  </si>
  <si>
    <t>OTF59H</t>
  </si>
  <si>
    <t>Tel: 3147356412 | 15360000 total | 64 cuotas | 51 pagos (13 pendientes)</t>
  </si>
  <si>
    <t>Roberto</t>
  </si>
  <si>
    <t>Bajaj OTR 29H</t>
  </si>
  <si>
    <t>OTR29H</t>
  </si>
  <si>
    <t>Ref: Nik amigo De Guillermo / Flaco Hobiter Edinson | 15360000 total | 64 cuotas | 43 pagos (21 pendientes)</t>
  </si>
  <si>
    <t>Brayan</t>
  </si>
  <si>
    <t>Bajaj OUA 19H</t>
  </si>
  <si>
    <t>OUA19H</t>
  </si>
  <si>
    <t>15360000 total | 64 cuotas | 43 pagos (21 pendientes)</t>
  </si>
  <si>
    <t>Gustavo Primo</t>
  </si>
  <si>
    <t>Bajaj OON 66H</t>
  </si>
  <si>
    <t>OON66H</t>
  </si>
  <si>
    <t>moto 19 | 17 meses | 16320000 total | 68 cuotas | 68 pagos (0 pendientes)</t>
  </si>
  <si>
    <t>Erik</t>
  </si>
  <si>
    <t>Bajaj OUN 39H</t>
  </si>
  <si>
    <t>OUN39H</t>
  </si>
  <si>
    <t>moto 20 | 36 meses | 13968000 total | 36 cuotas | tarifa 384000/mes | ver fotos 37-38 para pagos adicionales</t>
  </si>
  <si>
    <t>Efrain</t>
  </si>
  <si>
    <t>Bajaj OTZ 01H</t>
  </si>
  <si>
    <t>OTZ01H</t>
  </si>
  <si>
    <t>Amigo de Guillo | 21 meses | 20160000 total | 84 cuotas | subtotal cuaderno ~11.280.000 (~47 cuotas) | algunos pagos son multiples por fila</t>
  </si>
  <si>
    <t>Katherine</t>
  </si>
  <si>
    <t>Bajaj OUB 81H</t>
  </si>
  <si>
    <t>OUB81H</t>
  </si>
  <si>
    <t>del Choco | Tel: 3205570847 | 21 meses | 20160000 total | 84 cuotas | subtotal cuaderno 11.520.000 (48 cuotas) | 41 registradas fotos 38+39</t>
  </si>
  <si>
    <t>Ana Milena-Juan David</t>
  </si>
  <si>
    <t>Bajaj UPY 65H</t>
  </si>
  <si>
    <t>UPY65H</t>
  </si>
  <si>
    <t>Foto 40 | 25 pagos registrados | cuotas pendientes a confirmar</t>
  </si>
  <si>
    <t>Sr Luis</t>
  </si>
  <si>
    <t>Bajaj UYZ 32H</t>
  </si>
  <si>
    <t>UYZ32H</t>
  </si>
  <si>
    <t>Foto 41 | 14 pagos registrados | nota: calibrar moto</t>
  </si>
  <si>
    <t>Manuel Olga</t>
  </si>
  <si>
    <t>Bajaj UYZ 39H</t>
  </si>
  <si>
    <t>UYZ39H</t>
  </si>
  <si>
    <t>Foto 42 | 18 meses | 72 cuotas | 18 pagos registrados</t>
  </si>
  <si>
    <t>Jorge Estrada</t>
  </si>
  <si>
    <t>Bajaj BJH 66I</t>
  </si>
  <si>
    <t>BJH66I</t>
  </si>
  <si>
    <t>Foto 43 | 64 cuotas | 18 meses | 16 pagos | GAP en mayo-2026 sin registro</t>
  </si>
  <si>
    <t>Daniela Nuñez</t>
  </si>
  <si>
    <t>Bajaj BJK 95I</t>
  </si>
  <si>
    <t>BJK95I</t>
  </si>
  <si>
    <t>Foto 44 | 24 meses | 24 cuotas MENSUALES | tarifa 420.000/mes | total 10.080.000</t>
  </si>
  <si>
    <t>Alejandro</t>
  </si>
  <si>
    <t>Bajaj OKS 30I</t>
  </si>
  <si>
    <t>OKS30I</t>
  </si>
  <si>
    <t>Foto 45 | 21 meses | 84 cuotas | 13 pagos registrados</t>
  </si>
  <si>
    <t>Karluis</t>
  </si>
  <si>
    <t>Bajaj BLB 45I</t>
  </si>
  <si>
    <t>BLB45I</t>
  </si>
  <si>
    <t>Foto 46 | 18 meses | 72 cuotas | 4 pagos registrados | moto #29</t>
  </si>
  <si>
    <t>Francisco (Buñuelo)</t>
  </si>
  <si>
    <t>Bajaj BLG 78I</t>
  </si>
  <si>
    <t>BLG78I</t>
  </si>
  <si>
    <t>Foto 47 | 24 meses | 48 cuotas bisemanales | tarifa 190.000 | 4 pagos | moto #30</t>
  </si>
  <si>
    <t>Yesenia</t>
  </si>
  <si>
    <t>Bajaj HWO 62I</t>
  </si>
  <si>
    <t>HWO62I</t>
  </si>
  <si>
    <t>Foto 48 | 18 meses | 72 cuotas | 3 pagos registrados | moto #31</t>
  </si>
  <si>
    <t>Alvania</t>
  </si>
  <si>
    <t>Bajaj HWD 78I</t>
  </si>
  <si>
    <t>HWD78I</t>
  </si>
  <si>
    <t>Foto 49 | 18 meses | 72 cuotas | 2 pagos registrados | moto #32</t>
  </si>
  <si>
    <t>Yuranis Polo</t>
  </si>
  <si>
    <t>Bajaj HWM 11I</t>
  </si>
  <si>
    <t>HWM11I</t>
  </si>
  <si>
    <t>Foto 50 | 18 meses | 72 cuotas | moto #33 | SIN PAGOS aun — cliente nuevo</t>
  </si>
  <si>
    <t>Fecha</t>
  </si>
  <si>
    <t>Cliente</t>
  </si>
  <si>
    <t>Pago Diario</t>
  </si>
  <si>
    <t>Pago Recibido</t>
  </si>
  <si>
    <t>Medio Pago</t>
  </si>
  <si>
    <t>Saldo</t>
  </si>
  <si>
    <t>efectivo</t>
  </si>
  <si>
    <t>SIMULADOR DE CRÉDITO</t>
  </si>
  <si>
    <t xml:space="preserve">  PARÁMETROS DE ENTRADA</t>
  </si>
  <si>
    <t>Valor a Financiar  ($)</t>
  </si>
  <si>
    <t>← escribe el monto que vas a prestar</t>
  </si>
  <si>
    <t>Interés Mensual  (%)</t>
  </si>
  <si>
    <t>← ej: 3.5  significa  3.5 % mensual</t>
  </si>
  <si>
    <t>Interés Anual  (%)  —  automático</t>
  </si>
  <si>
    <t>← se calcula solo</t>
  </si>
  <si>
    <t>Número de Cuotas  (meses)</t>
  </si>
  <si>
    <t>← ej: 12, 24, 36, 64…</t>
  </si>
  <si>
    <t xml:space="preserve">  RESULTADOS</t>
  </si>
  <si>
    <t>Cuota Mensual</t>
  </si>
  <si>
    <t>Total a Recibir</t>
  </si>
  <si>
    <t>Total de Intereses</t>
  </si>
  <si>
    <t>Capital Financiado</t>
  </si>
  <si>
    <t xml:space="preserve">  TABLA DE AMORTIZACIÓN  (se actualiza automáticamente)</t>
  </si>
  <si>
    <t>Cuota #</t>
  </si>
  <si>
    <t>Saldo Inicial</t>
  </si>
  <si>
    <t>Cuota</t>
  </si>
  <si>
    <t>Interés</t>
  </si>
  <si>
    <t>Capital</t>
  </si>
  <si>
    <t>Saldo Final</t>
  </si>
  <si>
    <t xml:space="preserve">  Celdas amarillas -&gt; entrada manual  |  Celdas verdes -&gt; calculadas automáticamente</t>
  </si>
  <si>
    <t xml:space="preserve">  CALCULADORA INVERSA  —  ¿Qué interés le estoy cobrando al cliente?</t>
  </si>
  <si>
    <t xml:space="preserve">  Modo A · Conozco el TOTAL que quiero cobrar</t>
  </si>
  <si>
    <t>Valor de la moto  (lo que presté)</t>
  </si>
  <si>
    <t>← capital prestado al cliente</t>
  </si>
  <si>
    <t>Total que quiero cobrar  ($)</t>
  </si>
  <si>
    <t>← suma total que quieres recibir</t>
  </si>
  <si>
    <t>Número de meses</t>
  </si>
  <si>
    <t>← duración del crédito</t>
  </si>
  <si>
    <t>Cuota mensual</t>
  </si>
  <si>
    <t>Interés mensual  (%)</t>
  </si>
  <si>
    <t>Interés anual  (%)</t>
  </si>
  <si>
    <t xml:space="preserve">  Modo B · Conozco la CUOTA mensual que le voy a cobrar</t>
  </si>
  <si>
    <t>Cuota mensual  ($)</t>
  </si>
  <si>
    <t>← cuánto va a pagar cada mes</t>
  </si>
  <si>
    <t>Total a cobrar  ($)</t>
  </si>
  <si>
    <t xml:space="preserve">  Celdas amarillas -&gt; entrada manual  |  Celdas verdes -&gt; calculadas  |  Interés usa fórmula compuesta (RATE de Excel)</t>
  </si>
  <si>
    <t>Diario</t>
  </si>
  <si>
    <t xml:space="preserve">omre </t>
  </si>
  <si>
    <t>tipo</t>
  </si>
  <si>
    <t>8 dias</t>
  </si>
  <si>
    <t>cuota</t>
  </si>
  <si>
    <t>dias</t>
  </si>
  <si>
    <t>Elki</t>
  </si>
  <si>
    <t>Quiceal</t>
  </si>
  <si>
    <t>15 dias</t>
  </si>
  <si>
    <t>Henry junior</t>
  </si>
  <si>
    <t>7 dias</t>
  </si>
  <si>
    <t>13 meses</t>
  </si>
  <si>
    <t>60 cuotas</t>
  </si>
  <si>
    <t>Duvan Enrique</t>
  </si>
  <si>
    <t>wilmar ivis</t>
  </si>
  <si>
    <t>KEW 27H</t>
  </si>
  <si>
    <t>KEW27H</t>
  </si>
  <si>
    <t>Jesus Morales</t>
  </si>
  <si>
    <t>KFK 17H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</si>
</sst>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dd/mm/yyyy"/>
    <numFmt numFmtId="166" formatCode="0.00\ &quot;%&quot;"/>
  </numFmts>
  <fonts count="13" x14ac:knownFonts="1">
    <font>
      <sz val="11"/>
      <color theme="1"/>
      <name val="Calibri"/>
      <family val="2"/>
      <scheme val="minor"/>
    </font>
    <font>
      <b/>
      <sz val="11"/>
      <color rgb="FFF4EFE2"/>
      <name val="Calibri"/>
    </font>
    <font>
      <b/>
      <sz val="16"/>
      <color rgb="FFF4EFE2"/>
      <name val="Calibri"/>
    </font>
    <font>
      <b/>
      <sz val="11"/>
      <color rgb="FFF4EFE2"/>
      <name val="Calibri"/>
    </font>
    <font>
      <b/>
      <sz val="10"/>
      <name val="Calibri"/>
    </font>
    <font>
      <b/>
      <sz val="11"/>
      <name val="Calibri"/>
    </font>
    <font>
      <i/>
      <sz val="9"/>
      <color rgb="FF888888"/>
      <name val="Calibri"/>
    </font>
    <font>
      <b/>
      <sz val="12"/>
      <color rgb="FF1B4332"/>
      <name val="Calibri"/>
    </font>
    <font>
      <b/>
      <sz val="10"/>
      <color rgb="FFFFFFFF"/>
      <name val="Calibri"/>
    </font>
    <font>
      <sz val="9"/>
      <name val="Calibri"/>
    </font>
    <font>
      <i/>
      <sz val="9"/>
      <color rgb="FF555555"/>
      <name val="Calibri"/>
    </font>
    <font>
      <b/>
      <sz val="14"/>
      <color rgb="FFF4EFE2"/>
      <name val="Calibri"/>
    </font>
    <font>
      <b/>
      <sz val="12"/>
      <color rgb="FF7B3F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11E1A"/>
      </patternFill>
    </fill>
    <fill>
      <patternFill patternType="solid">
        <fgColor rgb="FF3B3028"/>
      </patternFill>
    </fill>
    <fill>
      <patternFill patternType="solid">
        <fgColor rgb="FFEAE7E4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1B4332"/>
      </patternFill>
    </fill>
    <fill>
      <patternFill patternType="solid">
        <fgColor rgb="FF495057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7B3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165" fontId="0" fillId="0" borderId="0" xfId="0" applyNumberFormat="1"/>
    <xf numFmtId="0" fontId="4" fillId="4" borderId="1" xfId="0" applyFont="1" applyFill="1" applyBorder="1" applyAlignment="1">
      <alignment horizontal="left" vertical="center"/>
    </xf>
    <xf numFmtId="4" fontId="5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2" fontId="5" fillId="5" borderId="1" xfId="0" applyNumberFormat="1" applyFont="1" applyFill="1" applyBorder="1" applyAlignment="1">
      <alignment horizontal="center" vertical="center"/>
    </xf>
    <xf numFmtId="4" fontId="5" fillId="6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3" fontId="7" fillId="6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/>
    </xf>
    <xf numFmtId="3" fontId="9" fillId="9" borderId="1" xfId="0" applyNumberFormat="1" applyFont="1" applyFill="1" applyBorder="1" applyAlignment="1">
      <alignment horizontal="right"/>
    </xf>
    <xf numFmtId="0" fontId="9" fillId="10" borderId="1" xfId="0" applyFont="1" applyFill="1" applyBorder="1" applyAlignment="1">
      <alignment horizontal="center"/>
    </xf>
    <xf numFmtId="3" fontId="9" fillId="10" borderId="1" xfId="0" applyNumberFormat="1" applyFont="1" applyFill="1" applyBorder="1" applyAlignment="1">
      <alignment horizontal="right"/>
    </xf>
    <xf numFmtId="3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/>
    <xf numFmtId="0" fontId="10" fillId="0" borderId="0" xfId="0" applyFont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11" fillId="11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opLeftCell="A4" workbookViewId="0">
      <selection activeCell="A8" sqref="A8"/>
    </sheetView>
  </sheetViews>
  <sheetFormatPr baseColWidth="10" defaultColWidth="9.140625" defaultRowHeight="15" x14ac:dyDescent="0.25"/>
  <cols>
    <col min="1" max="1" width="28.28515625" style="19" bestFit="1" customWidth="1"/>
    <col min="2" max="2" width="17.85546875" style="19" customWidth="1"/>
    <col min="3" max="3" width="8.5703125" style="19" bestFit="1" customWidth="1"/>
    <col min="4" max="4" width="17.140625" style="19" bestFit="1" customWidth="1"/>
    <col min="5" max="5" width="125.5703125" style="19" bestFit="1" customWidth="1"/>
    <col min="6" max="6" width="11.85546875" style="19" bestFit="1" customWidth="1"/>
    <col min="7" max="16384" width="9.140625" style="19"/>
  </cols>
  <sheetData>
    <row r="1" spans="1:6" x14ac:dyDescent="0.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</row>
    <row r="2" spans="1:6" x14ac:dyDescent="0.25">
      <c r="A2" s="19" t="s">
        <v>6</v>
      </c>
      <c r="B2" s="19" t="s">
        <v>7</v>
      </c>
      <c r="C2" s="19" t="s">
        <v>8</v>
      </c>
      <c r="D2" s="20">
        <v>45644</v>
      </c>
      <c r="E2" s="19" t="s">
        <v>9</v>
      </c>
      <c r="F2" s="19">
        <v>64</v>
      </c>
    </row>
    <row r="3" spans="1:6" x14ac:dyDescent="0.25">
      <c r="A3" s="19" t="s">
        <v>10</v>
      </c>
      <c r="B3" s="19" t="s">
        <v>11</v>
      </c>
      <c r="C3" s="19" t="s">
        <v>12</v>
      </c>
      <c r="D3" s="20">
        <v>45652</v>
      </c>
      <c r="E3" s="19" t="s">
        <v>13</v>
      </c>
      <c r="F3" s="19">
        <v>64</v>
      </c>
    </row>
    <row r="4" spans="1:6" x14ac:dyDescent="0.25">
      <c r="A4" s="19" t="s">
        <v>14</v>
      </c>
      <c r="B4" s="19" t="s">
        <v>15</v>
      </c>
      <c r="C4" s="19" t="s">
        <v>16</v>
      </c>
      <c r="D4" s="20">
        <v>45662</v>
      </c>
      <c r="E4" s="19" t="s">
        <v>17</v>
      </c>
      <c r="F4" s="19">
        <v>64</v>
      </c>
    </row>
    <row r="5" spans="1:6" x14ac:dyDescent="0.25">
      <c r="A5" s="19" t="s">
        <v>18</v>
      </c>
      <c r="B5" s="19" t="s">
        <v>19</v>
      </c>
      <c r="C5" s="19" t="s">
        <v>20</v>
      </c>
      <c r="D5" s="20">
        <v>45667</v>
      </c>
      <c r="E5" s="19" t="s">
        <v>21</v>
      </c>
      <c r="F5" s="19">
        <v>64</v>
      </c>
    </row>
    <row r="6" spans="1:6" x14ac:dyDescent="0.25">
      <c r="A6" s="19" t="s">
        <v>22</v>
      </c>
      <c r="B6" s="19" t="s">
        <v>23</v>
      </c>
      <c r="C6" s="19" t="s">
        <v>24</v>
      </c>
      <c r="D6" s="20">
        <v>46014</v>
      </c>
      <c r="E6" s="19" t="s">
        <v>25</v>
      </c>
      <c r="F6" s="19">
        <v>72</v>
      </c>
    </row>
    <row r="7" spans="1:6" x14ac:dyDescent="0.25">
      <c r="A7" s="19" t="s">
        <v>26</v>
      </c>
      <c r="B7" s="19" t="s">
        <v>27</v>
      </c>
      <c r="C7" s="19" t="s">
        <v>28</v>
      </c>
      <c r="D7" s="20">
        <v>45705</v>
      </c>
      <c r="E7" s="19" t="s">
        <v>29</v>
      </c>
      <c r="F7" s="19">
        <v>64</v>
      </c>
    </row>
    <row r="8" spans="1:6" x14ac:dyDescent="0.25">
      <c r="A8" s="19" t="s">
        <v>30</v>
      </c>
      <c r="B8" s="19" t="s">
        <v>31</v>
      </c>
      <c r="C8" s="19" t="s">
        <v>32</v>
      </c>
      <c r="D8" s="20">
        <v>45751</v>
      </c>
      <c r="E8" s="19" t="s">
        <v>33</v>
      </c>
      <c r="F8" s="19">
        <v>64</v>
      </c>
    </row>
    <row r="9" spans="1:6" x14ac:dyDescent="0.25">
      <c r="A9" s="19" t="s">
        <v>34</v>
      </c>
      <c r="B9" s="19" t="s">
        <v>35</v>
      </c>
      <c r="C9" s="19" t="s">
        <v>36</v>
      </c>
      <c r="D9" s="20">
        <v>45785</v>
      </c>
      <c r="E9" s="19" t="s">
        <v>37</v>
      </c>
      <c r="F9" s="19">
        <v>72</v>
      </c>
    </row>
    <row r="10" spans="1:6" x14ac:dyDescent="0.25">
      <c r="A10" s="19" t="s">
        <v>38</v>
      </c>
      <c r="B10" s="19" t="s">
        <v>39</v>
      </c>
      <c r="C10" s="19" t="s">
        <v>40</v>
      </c>
      <c r="D10" s="20">
        <v>45792</v>
      </c>
      <c r="E10" s="19" t="s">
        <v>41</v>
      </c>
      <c r="F10" s="19">
        <v>64</v>
      </c>
    </row>
    <row r="11" spans="1:6" x14ac:dyDescent="0.25">
      <c r="A11" s="19" t="s">
        <v>42</v>
      </c>
      <c r="B11" s="19" t="s">
        <v>43</v>
      </c>
      <c r="C11" s="19" t="s">
        <v>44</v>
      </c>
      <c r="D11" s="20">
        <v>45790</v>
      </c>
      <c r="E11" s="19" t="s">
        <v>45</v>
      </c>
      <c r="F11" s="19">
        <v>72</v>
      </c>
    </row>
    <row r="12" spans="1:6" x14ac:dyDescent="0.25">
      <c r="A12" s="19" t="s">
        <v>46</v>
      </c>
      <c r="B12" s="19" t="s">
        <v>47</v>
      </c>
      <c r="C12" s="19" t="s">
        <v>48</v>
      </c>
      <c r="D12" s="20">
        <v>45799</v>
      </c>
      <c r="E12" s="19" t="s">
        <v>49</v>
      </c>
      <c r="F12" s="19">
        <v>60</v>
      </c>
    </row>
    <row r="13" spans="1:6" x14ac:dyDescent="0.25">
      <c r="A13" s="19" t="s">
        <v>50</v>
      </c>
      <c r="B13" s="19" t="s">
        <v>51</v>
      </c>
      <c r="C13" s="19" t="s">
        <v>52</v>
      </c>
      <c r="D13" s="20">
        <v>45802</v>
      </c>
      <c r="E13" s="19" t="s">
        <v>53</v>
      </c>
      <c r="F13" s="19">
        <v>64</v>
      </c>
    </row>
    <row r="14" spans="1:6" x14ac:dyDescent="0.25">
      <c r="A14" s="19" t="s">
        <v>54</v>
      </c>
      <c r="B14" s="19" t="s">
        <v>55</v>
      </c>
      <c r="C14" s="19" t="s">
        <v>56</v>
      </c>
      <c r="D14" s="20">
        <v>45804</v>
      </c>
      <c r="E14" s="19" t="s">
        <v>57</v>
      </c>
      <c r="F14" s="19">
        <v>84</v>
      </c>
    </row>
    <row r="15" spans="1:6" x14ac:dyDescent="0.25">
      <c r="A15" s="19" t="s">
        <v>58</v>
      </c>
      <c r="B15" s="19" t="s">
        <v>59</v>
      </c>
      <c r="C15" s="19" t="s">
        <v>60</v>
      </c>
      <c r="D15" s="20">
        <v>45769</v>
      </c>
      <c r="E15" s="19" t="s">
        <v>61</v>
      </c>
      <c r="F15" s="19">
        <v>64</v>
      </c>
    </row>
    <row r="16" spans="1:6" x14ac:dyDescent="0.25">
      <c r="A16" s="19" t="s">
        <v>62</v>
      </c>
      <c r="B16" s="19" t="s">
        <v>63</v>
      </c>
      <c r="C16" s="19" t="s">
        <v>64</v>
      </c>
      <c r="D16" s="20">
        <v>45812</v>
      </c>
      <c r="E16" s="19" t="s">
        <v>65</v>
      </c>
      <c r="F16" s="19">
        <v>69</v>
      </c>
    </row>
    <row r="17" spans="1:6" x14ac:dyDescent="0.25">
      <c r="A17" s="19" t="s">
        <v>66</v>
      </c>
      <c r="B17" s="19" t="s">
        <v>67</v>
      </c>
      <c r="C17" s="19" t="s">
        <v>68</v>
      </c>
      <c r="D17" s="20">
        <v>45808</v>
      </c>
      <c r="E17" s="19" t="s">
        <v>69</v>
      </c>
      <c r="F17" s="19">
        <v>64</v>
      </c>
    </row>
    <row r="18" spans="1:6" x14ac:dyDescent="0.25">
      <c r="A18" s="19" t="s">
        <v>70</v>
      </c>
      <c r="B18" s="19" t="s">
        <v>71</v>
      </c>
      <c r="C18" s="19" t="s">
        <v>72</v>
      </c>
      <c r="D18" s="20">
        <v>45832</v>
      </c>
      <c r="E18" s="19" t="s">
        <v>73</v>
      </c>
      <c r="F18" s="19">
        <v>64</v>
      </c>
    </row>
    <row r="19" spans="1:6" x14ac:dyDescent="0.25">
      <c r="A19" s="19" t="s">
        <v>74</v>
      </c>
      <c r="B19" s="19" t="s">
        <v>75</v>
      </c>
      <c r="C19" s="19" t="s">
        <v>76</v>
      </c>
      <c r="D19" s="20">
        <v>45855</v>
      </c>
      <c r="E19" s="19" t="s">
        <v>77</v>
      </c>
      <c r="F19" s="19">
        <v>64</v>
      </c>
    </row>
    <row r="20" spans="1:6" x14ac:dyDescent="0.25">
      <c r="A20" s="19" t="s">
        <v>78</v>
      </c>
      <c r="B20" s="19" t="s">
        <v>79</v>
      </c>
      <c r="C20" s="19" t="s">
        <v>80</v>
      </c>
      <c r="D20" s="20">
        <v>45750</v>
      </c>
      <c r="E20" s="19" t="s">
        <v>81</v>
      </c>
      <c r="F20" s="19">
        <v>68</v>
      </c>
    </row>
    <row r="21" spans="1:6" x14ac:dyDescent="0.25">
      <c r="A21" s="19" t="s">
        <v>82</v>
      </c>
      <c r="B21" s="19" t="s">
        <v>83</v>
      </c>
      <c r="C21" s="19" t="s">
        <v>84</v>
      </c>
      <c r="D21" s="20">
        <v>45872</v>
      </c>
      <c r="E21" s="19" t="s">
        <v>85</v>
      </c>
      <c r="F21" s="19">
        <v>36</v>
      </c>
    </row>
    <row r="22" spans="1:6" x14ac:dyDescent="0.25">
      <c r="A22" s="19" t="s">
        <v>86</v>
      </c>
      <c r="B22" s="19" t="s">
        <v>87</v>
      </c>
      <c r="C22" s="19" t="s">
        <v>88</v>
      </c>
      <c r="D22" s="20">
        <v>45902</v>
      </c>
      <c r="E22" s="19" t="s">
        <v>89</v>
      </c>
      <c r="F22" s="19">
        <v>84</v>
      </c>
    </row>
    <row r="23" spans="1:6" x14ac:dyDescent="0.25">
      <c r="A23" s="19" t="s">
        <v>90</v>
      </c>
      <c r="B23" s="19" t="s">
        <v>91</v>
      </c>
      <c r="C23" s="19" t="s">
        <v>92</v>
      </c>
      <c r="D23" s="20">
        <v>45923</v>
      </c>
      <c r="E23" s="19" t="s">
        <v>93</v>
      </c>
      <c r="F23" s="19">
        <v>84</v>
      </c>
    </row>
    <row r="24" spans="1:6" x14ac:dyDescent="0.25">
      <c r="A24" s="19" t="s">
        <v>94</v>
      </c>
      <c r="B24" s="19" t="s">
        <v>95</v>
      </c>
      <c r="C24" s="19" t="s">
        <v>96</v>
      </c>
      <c r="D24" s="20">
        <v>46045</v>
      </c>
      <c r="E24" s="19" t="s">
        <v>97</v>
      </c>
      <c r="F24" s="19">
        <v>64</v>
      </c>
    </row>
    <row r="25" spans="1:6" x14ac:dyDescent="0.25">
      <c r="A25" s="19" t="s">
        <v>98</v>
      </c>
      <c r="B25" s="19" t="s">
        <v>99</v>
      </c>
      <c r="C25" s="19" t="s">
        <v>100</v>
      </c>
      <c r="D25" s="20">
        <v>46027</v>
      </c>
      <c r="E25" s="19" t="s">
        <v>101</v>
      </c>
      <c r="F25" s="19">
        <v>64</v>
      </c>
    </row>
    <row r="26" spans="1:6" x14ac:dyDescent="0.25">
      <c r="A26" s="19" t="s">
        <v>102</v>
      </c>
      <c r="B26" s="19" t="s">
        <v>103</v>
      </c>
      <c r="C26" s="19" t="s">
        <v>104</v>
      </c>
      <c r="D26" s="20">
        <v>46065</v>
      </c>
      <c r="E26" s="19" t="s">
        <v>105</v>
      </c>
      <c r="F26" s="19">
        <v>72</v>
      </c>
    </row>
    <row r="27" spans="1:6" x14ac:dyDescent="0.25">
      <c r="A27" s="19" t="s">
        <v>106</v>
      </c>
      <c r="B27" s="19" t="s">
        <v>107</v>
      </c>
      <c r="C27" s="19" t="s">
        <v>108</v>
      </c>
      <c r="D27" s="20">
        <v>46069</v>
      </c>
      <c r="E27" s="19" t="s">
        <v>109</v>
      </c>
      <c r="F27" s="19">
        <v>64</v>
      </c>
    </row>
    <row r="28" spans="1:6" x14ac:dyDescent="0.25">
      <c r="A28" s="19" t="s">
        <v>110</v>
      </c>
      <c r="B28" s="19" t="s">
        <v>111</v>
      </c>
      <c r="C28" s="19" t="s">
        <v>112</v>
      </c>
      <c r="D28" s="20">
        <v>46086</v>
      </c>
      <c r="E28" s="19" t="s">
        <v>113</v>
      </c>
      <c r="F28" s="19">
        <v>24</v>
      </c>
    </row>
    <row r="29" spans="1:6" x14ac:dyDescent="0.25">
      <c r="A29" s="19" t="s">
        <v>114</v>
      </c>
      <c r="B29" s="19" t="s">
        <v>115</v>
      </c>
      <c r="C29" s="19" t="s">
        <v>116</v>
      </c>
      <c r="D29" s="20">
        <v>46123</v>
      </c>
      <c r="E29" s="19" t="s">
        <v>117</v>
      </c>
      <c r="F29" s="19">
        <v>84</v>
      </c>
    </row>
    <row r="30" spans="1:6" x14ac:dyDescent="0.25">
      <c r="A30" s="19" t="s">
        <v>118</v>
      </c>
      <c r="B30" s="19" t="s">
        <v>119</v>
      </c>
      <c r="C30" s="19" t="s">
        <v>120</v>
      </c>
      <c r="D30" s="20">
        <v>46158</v>
      </c>
      <c r="E30" s="19" t="s">
        <v>121</v>
      </c>
      <c r="F30" s="19">
        <v>72</v>
      </c>
    </row>
    <row r="31" spans="1:6" x14ac:dyDescent="0.25">
      <c r="A31" s="19" t="s">
        <v>122</v>
      </c>
      <c r="B31" s="19" t="s">
        <v>123</v>
      </c>
      <c r="C31" s="19" t="s">
        <v>124</v>
      </c>
      <c r="D31" s="20">
        <v>46145</v>
      </c>
      <c r="E31" s="19" t="s">
        <v>125</v>
      </c>
      <c r="F31" s="19">
        <v>48</v>
      </c>
    </row>
    <row r="32" spans="1:6" x14ac:dyDescent="0.25">
      <c r="A32" s="19" t="s">
        <v>126</v>
      </c>
      <c r="B32" s="19" t="s">
        <v>127</v>
      </c>
      <c r="C32" s="19" t="s">
        <v>128</v>
      </c>
      <c r="D32" s="20">
        <v>46211</v>
      </c>
      <c r="E32" s="19" t="s">
        <v>129</v>
      </c>
      <c r="F32" s="19">
        <v>72</v>
      </c>
    </row>
    <row r="33" spans="1:6" x14ac:dyDescent="0.25">
      <c r="A33" s="19" t="s">
        <v>130</v>
      </c>
      <c r="B33" s="19" t="s">
        <v>131</v>
      </c>
      <c r="C33" s="19" t="s">
        <v>132</v>
      </c>
      <c r="D33" s="20">
        <v>46213</v>
      </c>
      <c r="E33" s="19" t="s">
        <v>133</v>
      </c>
      <c r="F33" s="19">
        <v>72</v>
      </c>
    </row>
    <row r="34" spans="1:6" x14ac:dyDescent="0.25">
      <c r="A34" s="19" t="s">
        <v>134</v>
      </c>
      <c r="B34" s="19" t="s">
        <v>135</v>
      </c>
      <c r="C34" s="19" t="s">
        <v>136</v>
      </c>
      <c r="D34" s="20">
        <v>46235</v>
      </c>
      <c r="E34" s="19" t="s">
        <v>137</v>
      </c>
      <c r="F34" s="19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1158"/>
  <sheetViews>
    <sheetView tabSelected="1" topLeftCell="A410" workbookViewId="0">
      <selection activeCell="D422" sqref="D422"/>
    </sheetView>
  </sheetViews>
  <sheetFormatPr baseColWidth="10" defaultColWidth="9.140625" defaultRowHeight="15" x14ac:dyDescent="0.25"/>
  <cols>
    <col min="1" max="1" width="13" customWidth="1"/>
    <col min="2" max="2" width="24" customWidth="1"/>
    <col min="3" max="3" width="16" customWidth="1"/>
    <col min="4" max="4" width="10" customWidth="1"/>
    <col min="8" max="9" width="14" customWidth="1"/>
    <col min="10" max="10" width="12" customWidth="1"/>
    <col min="11" max="11" width="14" customWidth="1"/>
    <col min="16" max="16" width="36" customWidth="1"/>
  </cols>
  <sheetData>
    <row r="1" spans="1:16" x14ac:dyDescent="0.25">
      <c r="A1" s="1" t="s">
        <v>138</v>
      </c>
      <c r="B1" s="1" t="s">
        <v>139</v>
      </c>
      <c r="C1" s="1" t="s">
        <v>1</v>
      </c>
      <c r="D1" s="1" t="s">
        <v>2</v>
      </c>
      <c r="H1" s="1" t="s">
        <v>140</v>
      </c>
      <c r="I1" s="1" t="s">
        <v>141</v>
      </c>
      <c r="J1" s="1" t="s">
        <v>142</v>
      </c>
      <c r="K1" s="1" t="s">
        <v>143</v>
      </c>
      <c r="P1" s="1" t="s">
        <v>4</v>
      </c>
    </row>
    <row r="2" spans="1:16" hidden="1" x14ac:dyDescent="0.25">
      <c r="A2" s="2">
        <v>45652</v>
      </c>
      <c r="B2" t="s">
        <v>6</v>
      </c>
      <c r="C2" t="s">
        <v>7</v>
      </c>
      <c r="D2" t="s">
        <v>8</v>
      </c>
      <c r="H2">
        <v>240000</v>
      </c>
      <c r="I2">
        <v>240000</v>
      </c>
      <c r="J2" t="s">
        <v>144</v>
      </c>
    </row>
    <row r="3" spans="1:16" hidden="1" x14ac:dyDescent="0.25">
      <c r="A3" s="2">
        <v>45659</v>
      </c>
      <c r="B3" t="s">
        <v>6</v>
      </c>
      <c r="C3" t="s">
        <v>7</v>
      </c>
      <c r="D3" t="s">
        <v>8</v>
      </c>
      <c r="H3">
        <v>240000</v>
      </c>
      <c r="I3">
        <v>240000</v>
      </c>
      <c r="J3" t="s">
        <v>144</v>
      </c>
    </row>
    <row r="4" spans="1:16" hidden="1" x14ac:dyDescent="0.25">
      <c r="A4" s="2">
        <v>45666</v>
      </c>
      <c r="B4" t="s">
        <v>6</v>
      </c>
      <c r="C4" t="s">
        <v>7</v>
      </c>
      <c r="D4" t="s">
        <v>8</v>
      </c>
      <c r="H4">
        <v>240000</v>
      </c>
      <c r="I4">
        <v>240000</v>
      </c>
      <c r="J4" t="s">
        <v>144</v>
      </c>
    </row>
    <row r="5" spans="1:16" hidden="1" x14ac:dyDescent="0.25">
      <c r="A5" s="2">
        <v>45673</v>
      </c>
      <c r="B5" t="s">
        <v>6</v>
      </c>
      <c r="C5" t="s">
        <v>7</v>
      </c>
      <c r="D5" t="s">
        <v>8</v>
      </c>
      <c r="H5">
        <v>240000</v>
      </c>
      <c r="I5">
        <v>240000</v>
      </c>
      <c r="J5" t="s">
        <v>144</v>
      </c>
    </row>
    <row r="6" spans="1:16" hidden="1" x14ac:dyDescent="0.25">
      <c r="A6" s="2">
        <v>45680</v>
      </c>
      <c r="B6" t="s">
        <v>6</v>
      </c>
      <c r="C6" t="s">
        <v>7</v>
      </c>
      <c r="D6" t="s">
        <v>8</v>
      </c>
      <c r="H6">
        <v>240000</v>
      </c>
      <c r="I6">
        <v>240000</v>
      </c>
      <c r="J6" t="s">
        <v>144</v>
      </c>
    </row>
    <row r="7" spans="1:16" hidden="1" x14ac:dyDescent="0.25">
      <c r="A7" s="2">
        <v>45692</v>
      </c>
      <c r="B7" t="s">
        <v>6</v>
      </c>
      <c r="C7" t="s">
        <v>7</v>
      </c>
      <c r="D7" t="s">
        <v>8</v>
      </c>
      <c r="H7">
        <v>240000</v>
      </c>
      <c r="I7">
        <v>240000</v>
      </c>
      <c r="J7" t="s">
        <v>144</v>
      </c>
    </row>
    <row r="8" spans="1:16" hidden="1" x14ac:dyDescent="0.25">
      <c r="A8" s="2">
        <v>45702</v>
      </c>
      <c r="B8" t="s">
        <v>6</v>
      </c>
      <c r="C8" t="s">
        <v>7</v>
      </c>
      <c r="D8" t="s">
        <v>8</v>
      </c>
      <c r="H8">
        <v>240000</v>
      </c>
      <c r="I8">
        <v>240000</v>
      </c>
      <c r="J8" t="s">
        <v>144</v>
      </c>
    </row>
    <row r="9" spans="1:16" hidden="1" x14ac:dyDescent="0.25">
      <c r="A9" s="2">
        <v>45710</v>
      </c>
      <c r="B9" t="s">
        <v>6</v>
      </c>
      <c r="C9" t="s">
        <v>7</v>
      </c>
      <c r="D9" t="s">
        <v>8</v>
      </c>
      <c r="H9">
        <v>240000</v>
      </c>
      <c r="I9">
        <v>240000</v>
      </c>
      <c r="J9" t="s">
        <v>144</v>
      </c>
    </row>
    <row r="10" spans="1:16" hidden="1" x14ac:dyDescent="0.25">
      <c r="A10" s="2">
        <v>45717</v>
      </c>
      <c r="B10" t="s">
        <v>6</v>
      </c>
      <c r="C10" t="s">
        <v>7</v>
      </c>
      <c r="D10" t="s">
        <v>8</v>
      </c>
      <c r="H10">
        <v>240000</v>
      </c>
      <c r="I10">
        <v>240000</v>
      </c>
      <c r="J10" t="s">
        <v>144</v>
      </c>
    </row>
    <row r="11" spans="1:16" hidden="1" x14ac:dyDescent="0.25">
      <c r="A11" s="2">
        <v>45724</v>
      </c>
      <c r="B11" t="s">
        <v>6</v>
      </c>
      <c r="C11" t="s">
        <v>7</v>
      </c>
      <c r="D11" t="s">
        <v>8</v>
      </c>
      <c r="H11">
        <v>240000</v>
      </c>
      <c r="I11">
        <v>240000</v>
      </c>
      <c r="J11" t="s">
        <v>144</v>
      </c>
    </row>
    <row r="12" spans="1:16" hidden="1" x14ac:dyDescent="0.25">
      <c r="A12" s="2">
        <v>45732</v>
      </c>
      <c r="B12" t="s">
        <v>6</v>
      </c>
      <c r="C12" t="s">
        <v>7</v>
      </c>
      <c r="D12" t="s">
        <v>8</v>
      </c>
      <c r="H12">
        <v>240000</v>
      </c>
      <c r="I12">
        <v>240000</v>
      </c>
      <c r="J12" t="s">
        <v>144</v>
      </c>
    </row>
    <row r="13" spans="1:16" hidden="1" x14ac:dyDescent="0.25">
      <c r="A13" s="2">
        <v>45738</v>
      </c>
      <c r="B13" t="s">
        <v>6</v>
      </c>
      <c r="C13" t="s">
        <v>7</v>
      </c>
      <c r="D13" t="s">
        <v>8</v>
      </c>
      <c r="H13">
        <v>240000</v>
      </c>
      <c r="I13">
        <v>240000</v>
      </c>
      <c r="J13" t="s">
        <v>144</v>
      </c>
    </row>
    <row r="14" spans="1:16" hidden="1" x14ac:dyDescent="0.25">
      <c r="A14" s="2">
        <v>45750</v>
      </c>
      <c r="B14" t="s">
        <v>6</v>
      </c>
      <c r="C14" t="s">
        <v>7</v>
      </c>
      <c r="D14" t="s">
        <v>8</v>
      </c>
      <c r="H14">
        <v>240000</v>
      </c>
      <c r="I14">
        <v>240000</v>
      </c>
      <c r="J14" t="s">
        <v>144</v>
      </c>
    </row>
    <row r="15" spans="1:16" hidden="1" x14ac:dyDescent="0.25">
      <c r="A15" s="2">
        <v>45759</v>
      </c>
      <c r="B15" t="s">
        <v>6</v>
      </c>
      <c r="C15" t="s">
        <v>7</v>
      </c>
      <c r="D15" t="s">
        <v>8</v>
      </c>
      <c r="H15">
        <v>240000</v>
      </c>
      <c r="I15">
        <v>240000</v>
      </c>
      <c r="J15" t="s">
        <v>144</v>
      </c>
    </row>
    <row r="16" spans="1:16" hidden="1" x14ac:dyDescent="0.25">
      <c r="A16" s="2">
        <v>45773</v>
      </c>
      <c r="B16" t="s">
        <v>6</v>
      </c>
      <c r="C16" t="s">
        <v>7</v>
      </c>
      <c r="D16" t="s">
        <v>8</v>
      </c>
      <c r="H16">
        <v>240000</v>
      </c>
      <c r="I16">
        <v>240000</v>
      </c>
      <c r="J16" t="s">
        <v>144</v>
      </c>
    </row>
    <row r="17" spans="1:10" hidden="1" x14ac:dyDescent="0.25">
      <c r="A17" s="2">
        <v>45778</v>
      </c>
      <c r="B17" t="s">
        <v>6</v>
      </c>
      <c r="C17" t="s">
        <v>7</v>
      </c>
      <c r="D17" t="s">
        <v>8</v>
      </c>
      <c r="H17">
        <v>240000</v>
      </c>
      <c r="I17">
        <v>240000</v>
      </c>
      <c r="J17" t="s">
        <v>144</v>
      </c>
    </row>
    <row r="18" spans="1:10" hidden="1" x14ac:dyDescent="0.25">
      <c r="A18" s="2">
        <v>45813</v>
      </c>
      <c r="B18" t="s">
        <v>6</v>
      </c>
      <c r="C18" t="s">
        <v>7</v>
      </c>
      <c r="D18" t="s">
        <v>8</v>
      </c>
      <c r="H18">
        <v>240000</v>
      </c>
      <c r="I18">
        <v>240000</v>
      </c>
      <c r="J18" t="s">
        <v>144</v>
      </c>
    </row>
    <row r="19" spans="1:10" hidden="1" x14ac:dyDescent="0.25">
      <c r="A19" s="2">
        <v>45826</v>
      </c>
      <c r="B19" t="s">
        <v>6</v>
      </c>
      <c r="C19" t="s">
        <v>7</v>
      </c>
      <c r="D19" t="s">
        <v>8</v>
      </c>
      <c r="H19">
        <v>240000</v>
      </c>
      <c r="I19">
        <v>240000</v>
      </c>
      <c r="J19" t="s">
        <v>144</v>
      </c>
    </row>
    <row r="20" spans="1:10" hidden="1" x14ac:dyDescent="0.25">
      <c r="A20" s="2">
        <v>45832</v>
      </c>
      <c r="B20" t="s">
        <v>6</v>
      </c>
      <c r="C20" t="s">
        <v>7</v>
      </c>
      <c r="D20" t="s">
        <v>8</v>
      </c>
      <c r="H20">
        <v>240000</v>
      </c>
      <c r="I20">
        <v>240000</v>
      </c>
      <c r="J20" t="s">
        <v>144</v>
      </c>
    </row>
    <row r="21" spans="1:10" hidden="1" x14ac:dyDescent="0.25">
      <c r="A21" s="2">
        <v>45840</v>
      </c>
      <c r="B21" t="s">
        <v>6</v>
      </c>
      <c r="C21" t="s">
        <v>7</v>
      </c>
      <c r="D21" t="s">
        <v>8</v>
      </c>
      <c r="H21">
        <v>240000</v>
      </c>
      <c r="I21">
        <v>240000</v>
      </c>
      <c r="J21" t="s">
        <v>144</v>
      </c>
    </row>
    <row r="22" spans="1:10" hidden="1" x14ac:dyDescent="0.25">
      <c r="A22" s="2">
        <v>45849</v>
      </c>
      <c r="B22" t="s">
        <v>6</v>
      </c>
      <c r="C22" t="s">
        <v>7</v>
      </c>
      <c r="D22" t="s">
        <v>8</v>
      </c>
      <c r="H22">
        <v>240000</v>
      </c>
      <c r="I22">
        <v>240000</v>
      </c>
      <c r="J22" t="s">
        <v>144</v>
      </c>
    </row>
    <row r="23" spans="1:10" hidden="1" x14ac:dyDescent="0.25">
      <c r="A23" s="2">
        <v>45857</v>
      </c>
      <c r="B23" t="s">
        <v>6</v>
      </c>
      <c r="C23" t="s">
        <v>7</v>
      </c>
      <c r="D23" t="s">
        <v>8</v>
      </c>
      <c r="H23">
        <v>240000</v>
      </c>
      <c r="I23">
        <v>240000</v>
      </c>
      <c r="J23" t="s">
        <v>144</v>
      </c>
    </row>
    <row r="24" spans="1:10" hidden="1" x14ac:dyDescent="0.25">
      <c r="A24" s="2">
        <v>45866</v>
      </c>
      <c r="B24" t="s">
        <v>6</v>
      </c>
      <c r="C24" t="s">
        <v>7</v>
      </c>
      <c r="D24" t="s">
        <v>8</v>
      </c>
      <c r="H24">
        <v>240000</v>
      </c>
      <c r="I24">
        <v>240000</v>
      </c>
      <c r="J24" t="s">
        <v>144</v>
      </c>
    </row>
    <row r="25" spans="1:10" hidden="1" x14ac:dyDescent="0.25">
      <c r="A25" s="2">
        <v>45875</v>
      </c>
      <c r="B25" t="s">
        <v>6</v>
      </c>
      <c r="C25" t="s">
        <v>7</v>
      </c>
      <c r="D25" t="s">
        <v>8</v>
      </c>
      <c r="H25">
        <v>240000</v>
      </c>
      <c r="I25">
        <v>240000</v>
      </c>
      <c r="J25" t="s">
        <v>144</v>
      </c>
    </row>
    <row r="26" spans="1:10" hidden="1" x14ac:dyDescent="0.25">
      <c r="A26" s="2">
        <v>45883</v>
      </c>
      <c r="B26" t="s">
        <v>6</v>
      </c>
      <c r="C26" t="s">
        <v>7</v>
      </c>
      <c r="D26" t="s">
        <v>8</v>
      </c>
      <c r="H26">
        <v>240000</v>
      </c>
      <c r="I26">
        <v>240000</v>
      </c>
      <c r="J26" t="s">
        <v>144</v>
      </c>
    </row>
    <row r="27" spans="1:10" hidden="1" x14ac:dyDescent="0.25">
      <c r="A27" s="2">
        <v>45891</v>
      </c>
      <c r="B27" t="s">
        <v>6</v>
      </c>
      <c r="C27" t="s">
        <v>7</v>
      </c>
      <c r="D27" t="s">
        <v>8</v>
      </c>
      <c r="H27">
        <v>240000</v>
      </c>
      <c r="I27">
        <v>240000</v>
      </c>
      <c r="J27" t="s">
        <v>144</v>
      </c>
    </row>
    <row r="28" spans="1:10" hidden="1" x14ac:dyDescent="0.25">
      <c r="A28" s="2">
        <v>45900</v>
      </c>
      <c r="B28" t="s">
        <v>6</v>
      </c>
      <c r="C28" t="s">
        <v>7</v>
      </c>
      <c r="D28" t="s">
        <v>8</v>
      </c>
      <c r="H28">
        <v>240000</v>
      </c>
      <c r="I28">
        <v>240000</v>
      </c>
      <c r="J28" t="s">
        <v>144</v>
      </c>
    </row>
    <row r="29" spans="1:10" hidden="1" x14ac:dyDescent="0.25">
      <c r="A29" s="2">
        <v>45909</v>
      </c>
      <c r="B29" t="s">
        <v>6</v>
      </c>
      <c r="C29" t="s">
        <v>7</v>
      </c>
      <c r="D29" t="s">
        <v>8</v>
      </c>
      <c r="H29">
        <v>240000</v>
      </c>
      <c r="I29">
        <v>240000</v>
      </c>
      <c r="J29" t="s">
        <v>144</v>
      </c>
    </row>
    <row r="30" spans="1:10" hidden="1" x14ac:dyDescent="0.25">
      <c r="A30" s="2">
        <v>45918</v>
      </c>
      <c r="B30" t="s">
        <v>6</v>
      </c>
      <c r="C30" t="s">
        <v>7</v>
      </c>
      <c r="D30" t="s">
        <v>8</v>
      </c>
      <c r="H30">
        <v>240000</v>
      </c>
      <c r="I30">
        <v>240000</v>
      </c>
      <c r="J30" t="s">
        <v>144</v>
      </c>
    </row>
    <row r="31" spans="1:10" hidden="1" x14ac:dyDescent="0.25">
      <c r="A31" s="2">
        <v>45926</v>
      </c>
      <c r="B31" t="s">
        <v>6</v>
      </c>
      <c r="C31" t="s">
        <v>7</v>
      </c>
      <c r="D31" t="s">
        <v>8</v>
      </c>
      <c r="H31">
        <v>240000</v>
      </c>
      <c r="I31">
        <v>240000</v>
      </c>
      <c r="J31" t="s">
        <v>144</v>
      </c>
    </row>
    <row r="32" spans="1:10" hidden="1" x14ac:dyDescent="0.25">
      <c r="A32" s="2">
        <v>45935</v>
      </c>
      <c r="B32" t="s">
        <v>6</v>
      </c>
      <c r="C32" t="s">
        <v>7</v>
      </c>
      <c r="D32" t="s">
        <v>8</v>
      </c>
      <c r="H32">
        <v>240000</v>
      </c>
      <c r="I32">
        <v>240000</v>
      </c>
      <c r="J32" t="s">
        <v>144</v>
      </c>
    </row>
    <row r="33" spans="1:10" hidden="1" x14ac:dyDescent="0.25">
      <c r="A33" s="2">
        <v>45943</v>
      </c>
      <c r="B33" t="s">
        <v>6</v>
      </c>
      <c r="C33" t="s">
        <v>7</v>
      </c>
      <c r="D33" t="s">
        <v>8</v>
      </c>
      <c r="H33">
        <v>240000</v>
      </c>
      <c r="I33">
        <v>240000</v>
      </c>
      <c r="J33" t="s">
        <v>144</v>
      </c>
    </row>
    <row r="34" spans="1:10" hidden="1" x14ac:dyDescent="0.25">
      <c r="A34" s="2">
        <v>45954</v>
      </c>
      <c r="B34" t="s">
        <v>6</v>
      </c>
      <c r="C34" t="s">
        <v>7</v>
      </c>
      <c r="D34" t="s">
        <v>8</v>
      </c>
      <c r="H34">
        <v>240000</v>
      </c>
      <c r="I34">
        <v>240000</v>
      </c>
      <c r="J34" t="s">
        <v>144</v>
      </c>
    </row>
    <row r="35" spans="1:10" hidden="1" x14ac:dyDescent="0.25">
      <c r="A35" s="2">
        <v>45963</v>
      </c>
      <c r="B35" t="s">
        <v>6</v>
      </c>
      <c r="C35" t="s">
        <v>7</v>
      </c>
      <c r="D35" t="s">
        <v>8</v>
      </c>
      <c r="H35">
        <v>240000</v>
      </c>
      <c r="I35">
        <v>240000</v>
      </c>
      <c r="J35" t="s">
        <v>144</v>
      </c>
    </row>
    <row r="36" spans="1:10" hidden="1" x14ac:dyDescent="0.25">
      <c r="A36" s="2">
        <v>45973</v>
      </c>
      <c r="B36" t="s">
        <v>6</v>
      </c>
      <c r="C36" t="s">
        <v>7</v>
      </c>
      <c r="D36" t="s">
        <v>8</v>
      </c>
      <c r="H36">
        <v>240000</v>
      </c>
      <c r="I36">
        <v>240000</v>
      </c>
      <c r="J36" t="s">
        <v>144</v>
      </c>
    </row>
    <row r="37" spans="1:10" hidden="1" x14ac:dyDescent="0.25">
      <c r="A37" s="2">
        <v>45982</v>
      </c>
      <c r="B37" t="s">
        <v>6</v>
      </c>
      <c r="C37" t="s">
        <v>7</v>
      </c>
      <c r="D37" t="s">
        <v>8</v>
      </c>
      <c r="H37">
        <v>240000</v>
      </c>
      <c r="I37">
        <v>240000</v>
      </c>
      <c r="J37" t="s">
        <v>144</v>
      </c>
    </row>
    <row r="38" spans="1:10" hidden="1" x14ac:dyDescent="0.25">
      <c r="A38" s="2">
        <v>45990</v>
      </c>
      <c r="B38" t="s">
        <v>6</v>
      </c>
      <c r="C38" t="s">
        <v>7</v>
      </c>
      <c r="D38" t="s">
        <v>8</v>
      </c>
      <c r="H38">
        <v>240000</v>
      </c>
      <c r="I38">
        <v>240000</v>
      </c>
      <c r="J38" t="s">
        <v>144</v>
      </c>
    </row>
    <row r="39" spans="1:10" hidden="1" x14ac:dyDescent="0.25">
      <c r="A39" s="2">
        <v>45999</v>
      </c>
      <c r="B39" t="s">
        <v>6</v>
      </c>
      <c r="C39" t="s">
        <v>7</v>
      </c>
      <c r="D39" t="s">
        <v>8</v>
      </c>
      <c r="H39">
        <v>240000</v>
      </c>
      <c r="I39">
        <v>240000</v>
      </c>
      <c r="J39" t="s">
        <v>144</v>
      </c>
    </row>
    <row r="40" spans="1:10" hidden="1" x14ac:dyDescent="0.25">
      <c r="A40" s="2">
        <v>46007</v>
      </c>
      <c r="B40" t="s">
        <v>6</v>
      </c>
      <c r="C40" t="s">
        <v>7</v>
      </c>
      <c r="D40" t="s">
        <v>8</v>
      </c>
      <c r="H40">
        <v>240000</v>
      </c>
      <c r="I40">
        <v>240000</v>
      </c>
      <c r="J40" t="s">
        <v>144</v>
      </c>
    </row>
    <row r="41" spans="1:10" hidden="1" x14ac:dyDescent="0.25">
      <c r="A41" s="2">
        <v>46016</v>
      </c>
      <c r="B41" t="s">
        <v>6</v>
      </c>
      <c r="C41" t="s">
        <v>7</v>
      </c>
      <c r="D41" t="s">
        <v>8</v>
      </c>
      <c r="H41">
        <v>240000</v>
      </c>
      <c r="I41">
        <v>240000</v>
      </c>
      <c r="J41" t="s">
        <v>144</v>
      </c>
    </row>
    <row r="42" spans="1:10" hidden="1" x14ac:dyDescent="0.25">
      <c r="A42" s="2">
        <v>46030</v>
      </c>
      <c r="B42" t="s">
        <v>6</v>
      </c>
      <c r="C42" t="s">
        <v>7</v>
      </c>
      <c r="D42" t="s">
        <v>8</v>
      </c>
      <c r="H42">
        <v>240000</v>
      </c>
      <c r="I42">
        <v>240000</v>
      </c>
      <c r="J42" t="s">
        <v>144</v>
      </c>
    </row>
    <row r="43" spans="1:10" hidden="1" x14ac:dyDescent="0.25">
      <c r="A43" s="2">
        <v>46036</v>
      </c>
      <c r="B43" t="s">
        <v>6</v>
      </c>
      <c r="C43" t="s">
        <v>7</v>
      </c>
      <c r="D43" t="s">
        <v>8</v>
      </c>
      <c r="H43">
        <v>240000</v>
      </c>
      <c r="I43">
        <v>240000</v>
      </c>
      <c r="J43" t="s">
        <v>144</v>
      </c>
    </row>
    <row r="44" spans="1:10" hidden="1" x14ac:dyDescent="0.25">
      <c r="A44" s="2">
        <v>46051</v>
      </c>
      <c r="B44" t="s">
        <v>6</v>
      </c>
      <c r="C44" t="s">
        <v>7</v>
      </c>
      <c r="D44" t="s">
        <v>8</v>
      </c>
      <c r="H44">
        <v>240000</v>
      </c>
      <c r="I44">
        <v>240000</v>
      </c>
      <c r="J44" t="s">
        <v>144</v>
      </c>
    </row>
    <row r="45" spans="1:10" hidden="1" x14ac:dyDescent="0.25">
      <c r="A45" s="2">
        <v>46056</v>
      </c>
      <c r="B45" t="s">
        <v>6</v>
      </c>
      <c r="C45" t="s">
        <v>7</v>
      </c>
      <c r="D45" t="s">
        <v>8</v>
      </c>
      <c r="H45">
        <v>240000</v>
      </c>
      <c r="I45">
        <v>240000</v>
      </c>
      <c r="J45" t="s">
        <v>144</v>
      </c>
    </row>
    <row r="46" spans="1:10" hidden="1" x14ac:dyDescent="0.25">
      <c r="A46" s="2">
        <v>46063</v>
      </c>
      <c r="B46" t="s">
        <v>6</v>
      </c>
      <c r="C46" t="s">
        <v>7</v>
      </c>
      <c r="D46" t="s">
        <v>8</v>
      </c>
      <c r="H46">
        <v>240000</v>
      </c>
      <c r="I46">
        <v>240000</v>
      </c>
      <c r="J46" t="s">
        <v>144</v>
      </c>
    </row>
    <row r="47" spans="1:10" hidden="1" x14ac:dyDescent="0.25">
      <c r="A47" s="2">
        <v>46071</v>
      </c>
      <c r="B47" t="s">
        <v>6</v>
      </c>
      <c r="C47" t="s">
        <v>7</v>
      </c>
      <c r="D47" t="s">
        <v>8</v>
      </c>
      <c r="H47">
        <v>240000</v>
      </c>
      <c r="I47">
        <v>240000</v>
      </c>
      <c r="J47" t="s">
        <v>144</v>
      </c>
    </row>
    <row r="48" spans="1:10" hidden="1" x14ac:dyDescent="0.25">
      <c r="A48" s="2">
        <v>46081</v>
      </c>
      <c r="B48" t="s">
        <v>6</v>
      </c>
      <c r="C48" t="s">
        <v>7</v>
      </c>
      <c r="D48" t="s">
        <v>8</v>
      </c>
      <c r="H48">
        <v>240000</v>
      </c>
      <c r="I48">
        <v>240000</v>
      </c>
      <c r="J48" t="s">
        <v>144</v>
      </c>
    </row>
    <row r="49" spans="1:10" hidden="1" x14ac:dyDescent="0.25">
      <c r="A49" s="2">
        <v>46134</v>
      </c>
      <c r="B49" t="s">
        <v>6</v>
      </c>
      <c r="C49" t="s">
        <v>7</v>
      </c>
      <c r="D49" t="s">
        <v>8</v>
      </c>
      <c r="H49">
        <v>240000</v>
      </c>
      <c r="I49">
        <v>240000</v>
      </c>
      <c r="J49" t="s">
        <v>144</v>
      </c>
    </row>
    <row r="50" spans="1:10" hidden="1" x14ac:dyDescent="0.25">
      <c r="A50" s="2">
        <v>46144</v>
      </c>
      <c r="B50" t="s">
        <v>6</v>
      </c>
      <c r="C50" t="s">
        <v>7</v>
      </c>
      <c r="D50" t="s">
        <v>8</v>
      </c>
      <c r="H50">
        <v>240000</v>
      </c>
      <c r="I50">
        <v>240000</v>
      </c>
      <c r="J50" t="s">
        <v>144</v>
      </c>
    </row>
    <row r="51" spans="1:10" hidden="1" x14ac:dyDescent="0.25">
      <c r="A51" s="2">
        <v>46152</v>
      </c>
      <c r="B51" t="s">
        <v>6</v>
      </c>
      <c r="C51" t="s">
        <v>7</v>
      </c>
      <c r="D51" t="s">
        <v>8</v>
      </c>
      <c r="H51">
        <v>240000</v>
      </c>
      <c r="I51">
        <v>240000</v>
      </c>
      <c r="J51" t="s">
        <v>144</v>
      </c>
    </row>
    <row r="52" spans="1:10" hidden="1" x14ac:dyDescent="0.25">
      <c r="A52" s="2">
        <v>46161</v>
      </c>
      <c r="B52" t="s">
        <v>6</v>
      </c>
      <c r="C52" t="s">
        <v>7</v>
      </c>
      <c r="D52" t="s">
        <v>8</v>
      </c>
      <c r="H52">
        <v>240000</v>
      </c>
      <c r="I52">
        <v>240000</v>
      </c>
      <c r="J52" t="s">
        <v>144</v>
      </c>
    </row>
    <row r="53" spans="1:10" hidden="1" x14ac:dyDescent="0.25">
      <c r="A53" s="2">
        <v>46169</v>
      </c>
      <c r="B53" t="s">
        <v>6</v>
      </c>
      <c r="C53" t="s">
        <v>7</v>
      </c>
      <c r="D53" t="s">
        <v>8</v>
      </c>
      <c r="H53">
        <v>240000</v>
      </c>
      <c r="I53">
        <v>240000</v>
      </c>
      <c r="J53" t="s">
        <v>144</v>
      </c>
    </row>
    <row r="54" spans="1:10" hidden="1" x14ac:dyDescent="0.25">
      <c r="A54" s="2">
        <v>46179</v>
      </c>
      <c r="B54" t="s">
        <v>6</v>
      </c>
      <c r="C54" t="s">
        <v>7</v>
      </c>
      <c r="D54" t="s">
        <v>8</v>
      </c>
      <c r="H54">
        <v>240000</v>
      </c>
      <c r="I54">
        <v>240000</v>
      </c>
      <c r="J54" t="s">
        <v>144</v>
      </c>
    </row>
    <row r="55" spans="1:10" hidden="1" x14ac:dyDescent="0.25">
      <c r="A55" s="2">
        <v>46189</v>
      </c>
      <c r="B55" t="s">
        <v>6</v>
      </c>
      <c r="C55" t="s">
        <v>7</v>
      </c>
      <c r="D55" t="s">
        <v>8</v>
      </c>
      <c r="H55">
        <v>240000</v>
      </c>
      <c r="I55">
        <v>240000</v>
      </c>
      <c r="J55" t="s">
        <v>144</v>
      </c>
    </row>
    <row r="56" spans="1:10" hidden="1" x14ac:dyDescent="0.25">
      <c r="A56" s="2">
        <v>46199</v>
      </c>
      <c r="B56" t="s">
        <v>6</v>
      </c>
      <c r="C56" t="s">
        <v>7</v>
      </c>
      <c r="D56" t="s">
        <v>8</v>
      </c>
      <c r="H56">
        <v>240000</v>
      </c>
      <c r="I56">
        <v>240000</v>
      </c>
      <c r="J56" t="s">
        <v>144</v>
      </c>
    </row>
    <row r="57" spans="1:10" hidden="1" x14ac:dyDescent="0.25">
      <c r="A57" s="2">
        <v>46210</v>
      </c>
      <c r="B57" t="s">
        <v>6</v>
      </c>
      <c r="C57" t="s">
        <v>7</v>
      </c>
      <c r="D57" t="s">
        <v>8</v>
      </c>
      <c r="H57">
        <v>240000</v>
      </c>
      <c r="I57">
        <v>240000</v>
      </c>
      <c r="J57" t="s">
        <v>144</v>
      </c>
    </row>
    <row r="58" spans="1:10" hidden="1" x14ac:dyDescent="0.25">
      <c r="A58" s="2">
        <v>46219</v>
      </c>
      <c r="B58" t="s">
        <v>6</v>
      </c>
      <c r="C58" t="s">
        <v>7</v>
      </c>
      <c r="D58" t="s">
        <v>8</v>
      </c>
      <c r="H58">
        <v>240000</v>
      </c>
      <c r="I58">
        <v>240000</v>
      </c>
      <c r="J58" t="s">
        <v>144</v>
      </c>
    </row>
    <row r="59" spans="1:10" hidden="1" x14ac:dyDescent="0.25">
      <c r="A59" s="2">
        <v>45652</v>
      </c>
      <c r="B59" t="s">
        <v>10</v>
      </c>
      <c r="C59" t="s">
        <v>11</v>
      </c>
      <c r="D59" t="s">
        <v>12</v>
      </c>
      <c r="H59">
        <v>240000</v>
      </c>
      <c r="I59">
        <v>240000</v>
      </c>
      <c r="J59" t="s">
        <v>144</v>
      </c>
    </row>
    <row r="60" spans="1:10" hidden="1" x14ac:dyDescent="0.25">
      <c r="A60" s="2">
        <v>45659</v>
      </c>
      <c r="B60" t="s">
        <v>10</v>
      </c>
      <c r="C60" t="s">
        <v>11</v>
      </c>
      <c r="D60" t="s">
        <v>12</v>
      </c>
      <c r="H60">
        <v>240000</v>
      </c>
      <c r="I60">
        <v>240000</v>
      </c>
      <c r="J60" t="s">
        <v>144</v>
      </c>
    </row>
    <row r="61" spans="1:10" hidden="1" x14ac:dyDescent="0.25">
      <c r="A61" s="2">
        <v>45666</v>
      </c>
      <c r="B61" t="s">
        <v>10</v>
      </c>
      <c r="C61" t="s">
        <v>11</v>
      </c>
      <c r="D61" t="s">
        <v>12</v>
      </c>
      <c r="H61">
        <v>240000</v>
      </c>
      <c r="I61">
        <v>240000</v>
      </c>
      <c r="J61" t="s">
        <v>144</v>
      </c>
    </row>
    <row r="62" spans="1:10" hidden="1" x14ac:dyDescent="0.25">
      <c r="A62" s="2">
        <v>45673</v>
      </c>
      <c r="B62" t="s">
        <v>10</v>
      </c>
      <c r="C62" t="s">
        <v>11</v>
      </c>
      <c r="D62" t="s">
        <v>12</v>
      </c>
      <c r="H62">
        <v>240000</v>
      </c>
      <c r="I62">
        <v>240000</v>
      </c>
      <c r="J62" t="s">
        <v>144</v>
      </c>
    </row>
    <row r="63" spans="1:10" hidden="1" x14ac:dyDescent="0.25">
      <c r="A63" s="2">
        <v>45684</v>
      </c>
      <c r="B63" t="s">
        <v>10</v>
      </c>
      <c r="C63" t="s">
        <v>11</v>
      </c>
      <c r="D63" t="s">
        <v>12</v>
      </c>
      <c r="H63">
        <v>240000</v>
      </c>
      <c r="I63">
        <v>240000</v>
      </c>
      <c r="J63" t="s">
        <v>144</v>
      </c>
    </row>
    <row r="64" spans="1:10" hidden="1" x14ac:dyDescent="0.25">
      <c r="A64" s="2">
        <v>45692</v>
      </c>
      <c r="B64" t="s">
        <v>10</v>
      </c>
      <c r="C64" t="s">
        <v>11</v>
      </c>
      <c r="D64" t="s">
        <v>12</v>
      </c>
      <c r="H64">
        <v>240000</v>
      </c>
      <c r="I64">
        <v>240000</v>
      </c>
      <c r="J64" t="s">
        <v>144</v>
      </c>
    </row>
    <row r="65" spans="1:10" hidden="1" x14ac:dyDescent="0.25">
      <c r="A65" s="2">
        <v>45710</v>
      </c>
      <c r="B65" t="s">
        <v>10</v>
      </c>
      <c r="C65" t="s">
        <v>11</v>
      </c>
      <c r="D65" t="s">
        <v>12</v>
      </c>
      <c r="H65">
        <v>240000</v>
      </c>
      <c r="I65">
        <v>240000</v>
      </c>
      <c r="J65" t="s">
        <v>144</v>
      </c>
    </row>
    <row r="66" spans="1:10" hidden="1" x14ac:dyDescent="0.25">
      <c r="A66" s="2">
        <v>45718</v>
      </c>
      <c r="B66" t="s">
        <v>10</v>
      </c>
      <c r="C66" t="s">
        <v>11</v>
      </c>
      <c r="D66" t="s">
        <v>12</v>
      </c>
      <c r="H66">
        <v>240000</v>
      </c>
      <c r="I66">
        <v>240000</v>
      </c>
      <c r="J66" t="s">
        <v>144</v>
      </c>
    </row>
    <row r="67" spans="1:10" hidden="1" x14ac:dyDescent="0.25">
      <c r="A67" s="2">
        <v>45727</v>
      </c>
      <c r="B67" t="s">
        <v>10</v>
      </c>
      <c r="C67" t="s">
        <v>11</v>
      </c>
      <c r="D67" t="s">
        <v>12</v>
      </c>
      <c r="H67">
        <v>240000</v>
      </c>
      <c r="I67">
        <v>240000</v>
      </c>
      <c r="J67" t="s">
        <v>144</v>
      </c>
    </row>
    <row r="68" spans="1:10" hidden="1" x14ac:dyDescent="0.25">
      <c r="A68" s="2">
        <v>45730</v>
      </c>
      <c r="B68" t="s">
        <v>10</v>
      </c>
      <c r="C68" t="s">
        <v>11</v>
      </c>
      <c r="D68" t="s">
        <v>12</v>
      </c>
      <c r="H68">
        <v>240000</v>
      </c>
      <c r="I68">
        <v>240000</v>
      </c>
      <c r="J68" t="s">
        <v>144</v>
      </c>
    </row>
    <row r="69" spans="1:10" hidden="1" x14ac:dyDescent="0.25">
      <c r="A69" s="2">
        <v>45743</v>
      </c>
      <c r="B69" t="s">
        <v>10</v>
      </c>
      <c r="C69" t="s">
        <v>11</v>
      </c>
      <c r="D69" t="s">
        <v>12</v>
      </c>
      <c r="H69">
        <v>240000</v>
      </c>
      <c r="I69">
        <v>240000</v>
      </c>
      <c r="J69" t="s">
        <v>144</v>
      </c>
    </row>
    <row r="70" spans="1:10" hidden="1" x14ac:dyDescent="0.25">
      <c r="A70" s="2">
        <v>45751</v>
      </c>
      <c r="B70" t="s">
        <v>10</v>
      </c>
      <c r="C70" t="s">
        <v>11</v>
      </c>
      <c r="D70" t="s">
        <v>12</v>
      </c>
      <c r="H70">
        <v>240000</v>
      </c>
      <c r="I70">
        <v>240000</v>
      </c>
      <c r="J70" t="s">
        <v>144</v>
      </c>
    </row>
    <row r="71" spans="1:10" hidden="1" x14ac:dyDescent="0.25">
      <c r="A71" s="2">
        <v>45759</v>
      </c>
      <c r="B71" t="s">
        <v>10</v>
      </c>
      <c r="C71" t="s">
        <v>11</v>
      </c>
      <c r="D71" t="s">
        <v>12</v>
      </c>
      <c r="H71">
        <v>240000</v>
      </c>
      <c r="I71">
        <v>240000</v>
      </c>
      <c r="J71" t="s">
        <v>144</v>
      </c>
    </row>
    <row r="72" spans="1:10" hidden="1" x14ac:dyDescent="0.25">
      <c r="A72" s="2">
        <v>45767</v>
      </c>
      <c r="B72" t="s">
        <v>10</v>
      </c>
      <c r="C72" t="s">
        <v>11</v>
      </c>
      <c r="D72" t="s">
        <v>12</v>
      </c>
      <c r="H72">
        <v>240000</v>
      </c>
      <c r="I72">
        <v>240000</v>
      </c>
      <c r="J72" t="s">
        <v>144</v>
      </c>
    </row>
    <row r="73" spans="1:10" hidden="1" x14ac:dyDescent="0.25">
      <c r="A73" s="2">
        <v>45775</v>
      </c>
      <c r="B73" t="s">
        <v>10</v>
      </c>
      <c r="C73" t="s">
        <v>11</v>
      </c>
      <c r="D73" t="s">
        <v>12</v>
      </c>
      <c r="H73">
        <v>240000</v>
      </c>
      <c r="I73">
        <v>240000</v>
      </c>
      <c r="J73" t="s">
        <v>144</v>
      </c>
    </row>
    <row r="74" spans="1:10" hidden="1" x14ac:dyDescent="0.25">
      <c r="A74" s="2">
        <v>45783</v>
      </c>
      <c r="B74" t="s">
        <v>10</v>
      </c>
      <c r="C74" t="s">
        <v>11</v>
      </c>
      <c r="D74" t="s">
        <v>12</v>
      </c>
      <c r="H74">
        <v>240000</v>
      </c>
      <c r="I74">
        <v>240000</v>
      </c>
      <c r="J74" t="s">
        <v>144</v>
      </c>
    </row>
    <row r="75" spans="1:10" hidden="1" x14ac:dyDescent="0.25">
      <c r="A75" s="2">
        <v>45793</v>
      </c>
      <c r="B75" t="s">
        <v>10</v>
      </c>
      <c r="C75" t="s">
        <v>11</v>
      </c>
      <c r="D75" t="s">
        <v>12</v>
      </c>
      <c r="H75">
        <v>240000</v>
      </c>
      <c r="I75">
        <v>240000</v>
      </c>
      <c r="J75" t="s">
        <v>144</v>
      </c>
    </row>
    <row r="76" spans="1:10" hidden="1" x14ac:dyDescent="0.25">
      <c r="A76" s="2">
        <v>45801</v>
      </c>
      <c r="B76" t="s">
        <v>10</v>
      </c>
      <c r="C76" t="s">
        <v>11</v>
      </c>
      <c r="D76" t="s">
        <v>12</v>
      </c>
      <c r="H76">
        <v>240000</v>
      </c>
      <c r="I76">
        <v>240000</v>
      </c>
      <c r="J76" t="s">
        <v>144</v>
      </c>
    </row>
    <row r="77" spans="1:10" hidden="1" x14ac:dyDescent="0.25">
      <c r="A77" s="2">
        <v>45811</v>
      </c>
      <c r="B77" t="s">
        <v>10</v>
      </c>
      <c r="C77" t="s">
        <v>11</v>
      </c>
      <c r="D77" t="s">
        <v>12</v>
      </c>
      <c r="H77">
        <v>240000</v>
      </c>
      <c r="I77">
        <v>240000</v>
      </c>
      <c r="J77" t="s">
        <v>144</v>
      </c>
    </row>
    <row r="78" spans="1:10" hidden="1" x14ac:dyDescent="0.25">
      <c r="A78" s="2">
        <v>45816</v>
      </c>
      <c r="B78" t="s">
        <v>10</v>
      </c>
      <c r="C78" t="s">
        <v>11</v>
      </c>
      <c r="D78" t="s">
        <v>12</v>
      </c>
      <c r="H78">
        <v>240000</v>
      </c>
      <c r="I78">
        <v>240000</v>
      </c>
      <c r="J78" t="s">
        <v>144</v>
      </c>
    </row>
    <row r="79" spans="1:10" hidden="1" x14ac:dyDescent="0.25">
      <c r="A79" s="2">
        <v>45822</v>
      </c>
      <c r="B79" t="s">
        <v>10</v>
      </c>
      <c r="C79" t="s">
        <v>11</v>
      </c>
      <c r="D79" t="s">
        <v>12</v>
      </c>
      <c r="H79">
        <v>240000</v>
      </c>
      <c r="I79">
        <v>240000</v>
      </c>
      <c r="J79" t="s">
        <v>144</v>
      </c>
    </row>
    <row r="80" spans="1:10" hidden="1" x14ac:dyDescent="0.25">
      <c r="A80" s="2">
        <v>45838</v>
      </c>
      <c r="B80" t="s">
        <v>10</v>
      </c>
      <c r="C80" t="s">
        <v>11</v>
      </c>
      <c r="D80" t="s">
        <v>12</v>
      </c>
      <c r="H80">
        <v>240000</v>
      </c>
      <c r="I80">
        <v>240000</v>
      </c>
      <c r="J80" t="s">
        <v>144</v>
      </c>
    </row>
    <row r="81" spans="1:10" hidden="1" x14ac:dyDescent="0.25">
      <c r="A81" s="2">
        <v>45847</v>
      </c>
      <c r="B81" t="s">
        <v>10</v>
      </c>
      <c r="C81" t="s">
        <v>11</v>
      </c>
      <c r="D81" t="s">
        <v>12</v>
      </c>
      <c r="H81">
        <v>240000</v>
      </c>
      <c r="I81">
        <v>240000</v>
      </c>
      <c r="J81" t="s">
        <v>144</v>
      </c>
    </row>
    <row r="82" spans="1:10" hidden="1" x14ac:dyDescent="0.25">
      <c r="A82" s="2">
        <v>45856</v>
      </c>
      <c r="B82" t="s">
        <v>10</v>
      </c>
      <c r="C82" t="s">
        <v>11</v>
      </c>
      <c r="D82" t="s">
        <v>12</v>
      </c>
      <c r="H82">
        <v>240000</v>
      </c>
      <c r="I82">
        <v>240000</v>
      </c>
      <c r="J82" t="s">
        <v>144</v>
      </c>
    </row>
    <row r="83" spans="1:10" hidden="1" x14ac:dyDescent="0.25">
      <c r="A83" s="2">
        <v>45867</v>
      </c>
      <c r="B83" t="s">
        <v>10</v>
      </c>
      <c r="C83" t="s">
        <v>11</v>
      </c>
      <c r="D83" t="s">
        <v>12</v>
      </c>
      <c r="H83">
        <v>240000</v>
      </c>
      <c r="I83">
        <v>240000</v>
      </c>
      <c r="J83" t="s">
        <v>144</v>
      </c>
    </row>
    <row r="84" spans="1:10" hidden="1" x14ac:dyDescent="0.25">
      <c r="A84" s="2">
        <v>45876</v>
      </c>
      <c r="B84" t="s">
        <v>10</v>
      </c>
      <c r="C84" t="s">
        <v>11</v>
      </c>
      <c r="D84" t="s">
        <v>12</v>
      </c>
      <c r="H84">
        <v>240000</v>
      </c>
      <c r="I84">
        <v>240000</v>
      </c>
      <c r="J84" t="s">
        <v>144</v>
      </c>
    </row>
    <row r="85" spans="1:10" hidden="1" x14ac:dyDescent="0.25">
      <c r="A85" s="2">
        <v>45885</v>
      </c>
      <c r="B85" t="s">
        <v>10</v>
      </c>
      <c r="C85" t="s">
        <v>11</v>
      </c>
      <c r="D85" t="s">
        <v>12</v>
      </c>
      <c r="H85">
        <v>240000</v>
      </c>
      <c r="I85">
        <v>240000</v>
      </c>
      <c r="J85" t="s">
        <v>144</v>
      </c>
    </row>
    <row r="86" spans="1:10" hidden="1" x14ac:dyDescent="0.25">
      <c r="A86" s="2">
        <v>45893</v>
      </c>
      <c r="B86" t="s">
        <v>10</v>
      </c>
      <c r="C86" t="s">
        <v>11</v>
      </c>
      <c r="D86" t="s">
        <v>12</v>
      </c>
      <c r="H86">
        <v>240000</v>
      </c>
      <c r="I86">
        <v>240000</v>
      </c>
      <c r="J86" t="s">
        <v>144</v>
      </c>
    </row>
    <row r="87" spans="1:10" hidden="1" x14ac:dyDescent="0.25">
      <c r="A87" s="2">
        <v>45902</v>
      </c>
      <c r="B87" t="s">
        <v>10</v>
      </c>
      <c r="C87" t="s">
        <v>11</v>
      </c>
      <c r="D87" t="s">
        <v>12</v>
      </c>
      <c r="H87">
        <v>240000</v>
      </c>
      <c r="I87">
        <v>240000</v>
      </c>
      <c r="J87" t="s">
        <v>144</v>
      </c>
    </row>
    <row r="88" spans="1:10" hidden="1" x14ac:dyDescent="0.25">
      <c r="A88" s="2">
        <v>45910</v>
      </c>
      <c r="B88" t="s">
        <v>10</v>
      </c>
      <c r="C88" t="s">
        <v>11</v>
      </c>
      <c r="D88" t="s">
        <v>12</v>
      </c>
      <c r="H88">
        <v>240000</v>
      </c>
      <c r="I88">
        <v>240000</v>
      </c>
      <c r="J88" t="s">
        <v>144</v>
      </c>
    </row>
    <row r="89" spans="1:10" hidden="1" x14ac:dyDescent="0.25">
      <c r="A89" s="2">
        <v>45918</v>
      </c>
      <c r="B89" t="s">
        <v>10</v>
      </c>
      <c r="C89" t="s">
        <v>11</v>
      </c>
      <c r="D89" t="s">
        <v>12</v>
      </c>
      <c r="H89">
        <v>240000</v>
      </c>
      <c r="I89">
        <v>240000</v>
      </c>
      <c r="J89" t="s">
        <v>144</v>
      </c>
    </row>
    <row r="90" spans="1:10" hidden="1" x14ac:dyDescent="0.25">
      <c r="A90" s="2">
        <v>45926</v>
      </c>
      <c r="B90" t="s">
        <v>10</v>
      </c>
      <c r="C90" t="s">
        <v>11</v>
      </c>
      <c r="D90" t="s">
        <v>12</v>
      </c>
      <c r="H90">
        <v>240000</v>
      </c>
      <c r="I90">
        <v>240000</v>
      </c>
      <c r="J90" t="s">
        <v>144</v>
      </c>
    </row>
    <row r="91" spans="1:10" hidden="1" x14ac:dyDescent="0.25">
      <c r="A91" s="2">
        <v>45934</v>
      </c>
      <c r="B91" t="s">
        <v>10</v>
      </c>
      <c r="C91" t="s">
        <v>11</v>
      </c>
      <c r="D91" t="s">
        <v>12</v>
      </c>
      <c r="H91">
        <v>240000</v>
      </c>
      <c r="I91">
        <v>240000</v>
      </c>
      <c r="J91" t="s">
        <v>144</v>
      </c>
    </row>
    <row r="92" spans="1:10" hidden="1" x14ac:dyDescent="0.25">
      <c r="A92" s="2">
        <v>45944</v>
      </c>
      <c r="B92" t="s">
        <v>10</v>
      </c>
      <c r="C92" t="s">
        <v>11</v>
      </c>
      <c r="D92" t="s">
        <v>12</v>
      </c>
      <c r="H92">
        <v>240000</v>
      </c>
      <c r="I92">
        <v>240000</v>
      </c>
      <c r="J92" t="s">
        <v>144</v>
      </c>
    </row>
    <row r="93" spans="1:10" hidden="1" x14ac:dyDescent="0.25">
      <c r="A93" s="2">
        <v>45951</v>
      </c>
      <c r="B93" t="s">
        <v>10</v>
      </c>
      <c r="C93" t="s">
        <v>11</v>
      </c>
      <c r="D93" t="s">
        <v>12</v>
      </c>
      <c r="H93">
        <v>240000</v>
      </c>
      <c r="I93">
        <v>240000</v>
      </c>
      <c r="J93" t="s">
        <v>144</v>
      </c>
    </row>
    <row r="94" spans="1:10" hidden="1" x14ac:dyDescent="0.25">
      <c r="A94" s="2">
        <v>45961</v>
      </c>
      <c r="B94" t="s">
        <v>10</v>
      </c>
      <c r="C94" t="s">
        <v>11</v>
      </c>
      <c r="D94" t="s">
        <v>12</v>
      </c>
      <c r="H94">
        <v>240000</v>
      </c>
      <c r="I94">
        <v>240000</v>
      </c>
      <c r="J94" t="s">
        <v>144</v>
      </c>
    </row>
    <row r="95" spans="1:10" hidden="1" x14ac:dyDescent="0.25">
      <c r="A95" s="2">
        <v>45970</v>
      </c>
      <c r="B95" t="s">
        <v>10</v>
      </c>
      <c r="C95" t="s">
        <v>11</v>
      </c>
      <c r="D95" t="s">
        <v>12</v>
      </c>
      <c r="H95">
        <v>240000</v>
      </c>
      <c r="I95">
        <v>240000</v>
      </c>
      <c r="J95" t="s">
        <v>144</v>
      </c>
    </row>
    <row r="96" spans="1:10" hidden="1" x14ac:dyDescent="0.25">
      <c r="A96" s="2">
        <v>45980</v>
      </c>
      <c r="B96" t="s">
        <v>10</v>
      </c>
      <c r="C96" t="s">
        <v>11</v>
      </c>
      <c r="D96" t="s">
        <v>12</v>
      </c>
      <c r="H96">
        <v>240000</v>
      </c>
      <c r="I96">
        <v>240000</v>
      </c>
      <c r="J96" t="s">
        <v>144</v>
      </c>
    </row>
    <row r="97" spans="1:10" hidden="1" x14ac:dyDescent="0.25">
      <c r="A97" s="2">
        <v>45987</v>
      </c>
      <c r="B97" t="s">
        <v>10</v>
      </c>
      <c r="C97" t="s">
        <v>11</v>
      </c>
      <c r="D97" t="s">
        <v>12</v>
      </c>
      <c r="H97">
        <v>240000</v>
      </c>
      <c r="I97">
        <v>240000</v>
      </c>
      <c r="J97" t="s">
        <v>144</v>
      </c>
    </row>
    <row r="98" spans="1:10" hidden="1" x14ac:dyDescent="0.25">
      <c r="A98" s="2">
        <v>45997</v>
      </c>
      <c r="B98" t="s">
        <v>10</v>
      </c>
      <c r="C98" t="s">
        <v>11</v>
      </c>
      <c r="D98" t="s">
        <v>12</v>
      </c>
      <c r="H98">
        <v>240000</v>
      </c>
      <c r="I98">
        <v>240000</v>
      </c>
      <c r="J98" t="s">
        <v>144</v>
      </c>
    </row>
    <row r="99" spans="1:10" hidden="1" x14ac:dyDescent="0.25">
      <c r="A99" s="2">
        <v>46005</v>
      </c>
      <c r="B99" t="s">
        <v>10</v>
      </c>
      <c r="C99" t="s">
        <v>11</v>
      </c>
      <c r="D99" t="s">
        <v>12</v>
      </c>
      <c r="H99">
        <v>240000</v>
      </c>
      <c r="I99">
        <v>240000</v>
      </c>
      <c r="J99" t="s">
        <v>144</v>
      </c>
    </row>
    <row r="100" spans="1:10" hidden="1" x14ac:dyDescent="0.25">
      <c r="A100" s="2">
        <v>46014</v>
      </c>
      <c r="B100" t="s">
        <v>10</v>
      </c>
      <c r="C100" t="s">
        <v>11</v>
      </c>
      <c r="D100" t="s">
        <v>12</v>
      </c>
      <c r="H100">
        <v>240000</v>
      </c>
      <c r="I100">
        <v>240000</v>
      </c>
      <c r="J100" t="s">
        <v>144</v>
      </c>
    </row>
    <row r="101" spans="1:10" hidden="1" x14ac:dyDescent="0.25">
      <c r="A101" s="2">
        <v>46029</v>
      </c>
      <c r="B101" t="s">
        <v>10</v>
      </c>
      <c r="C101" t="s">
        <v>11</v>
      </c>
      <c r="D101" t="s">
        <v>12</v>
      </c>
      <c r="H101">
        <v>240000</v>
      </c>
      <c r="I101">
        <v>240000</v>
      </c>
      <c r="J101" t="s">
        <v>144</v>
      </c>
    </row>
    <row r="102" spans="1:10" hidden="1" x14ac:dyDescent="0.25">
      <c r="A102" s="2">
        <v>46038</v>
      </c>
      <c r="B102" t="s">
        <v>10</v>
      </c>
      <c r="C102" t="s">
        <v>11</v>
      </c>
      <c r="D102" t="s">
        <v>12</v>
      </c>
      <c r="H102">
        <v>240000</v>
      </c>
      <c r="I102">
        <v>240000</v>
      </c>
      <c r="J102" t="s">
        <v>144</v>
      </c>
    </row>
    <row r="103" spans="1:10" hidden="1" x14ac:dyDescent="0.25">
      <c r="A103" s="2">
        <v>46046</v>
      </c>
      <c r="B103" t="s">
        <v>10</v>
      </c>
      <c r="C103" t="s">
        <v>11</v>
      </c>
      <c r="D103" t="s">
        <v>12</v>
      </c>
      <c r="H103">
        <v>240000</v>
      </c>
      <c r="I103">
        <v>240000</v>
      </c>
      <c r="J103" t="s">
        <v>144</v>
      </c>
    </row>
    <row r="104" spans="1:10" hidden="1" x14ac:dyDescent="0.25">
      <c r="A104" s="2">
        <v>46055</v>
      </c>
      <c r="B104" t="s">
        <v>10</v>
      </c>
      <c r="C104" t="s">
        <v>11</v>
      </c>
      <c r="D104" t="s">
        <v>12</v>
      </c>
      <c r="H104">
        <v>240000</v>
      </c>
      <c r="I104">
        <v>240000</v>
      </c>
      <c r="J104" t="s">
        <v>144</v>
      </c>
    </row>
    <row r="105" spans="1:10" hidden="1" x14ac:dyDescent="0.25">
      <c r="A105" s="2">
        <v>46066</v>
      </c>
      <c r="B105" t="s">
        <v>10</v>
      </c>
      <c r="C105" t="s">
        <v>11</v>
      </c>
      <c r="D105" t="s">
        <v>12</v>
      </c>
      <c r="H105">
        <v>240000</v>
      </c>
      <c r="I105">
        <v>240000</v>
      </c>
      <c r="J105" t="s">
        <v>144</v>
      </c>
    </row>
    <row r="106" spans="1:10" hidden="1" x14ac:dyDescent="0.25">
      <c r="A106" s="2">
        <v>46077</v>
      </c>
      <c r="B106" t="s">
        <v>10</v>
      </c>
      <c r="C106" t="s">
        <v>11</v>
      </c>
      <c r="D106" t="s">
        <v>12</v>
      </c>
      <c r="H106">
        <v>240000</v>
      </c>
      <c r="I106">
        <v>240000</v>
      </c>
      <c r="J106" t="s">
        <v>144</v>
      </c>
    </row>
    <row r="107" spans="1:10" hidden="1" x14ac:dyDescent="0.25">
      <c r="A107" s="2">
        <v>46083</v>
      </c>
      <c r="B107" t="s">
        <v>10</v>
      </c>
      <c r="C107" t="s">
        <v>11</v>
      </c>
      <c r="D107" t="s">
        <v>12</v>
      </c>
      <c r="H107">
        <v>240000</v>
      </c>
      <c r="I107">
        <v>240000</v>
      </c>
      <c r="J107" t="s">
        <v>144</v>
      </c>
    </row>
    <row r="108" spans="1:10" hidden="1" x14ac:dyDescent="0.25">
      <c r="A108" s="2">
        <v>46096</v>
      </c>
      <c r="B108" t="s">
        <v>10</v>
      </c>
      <c r="C108" t="s">
        <v>11</v>
      </c>
      <c r="D108" t="s">
        <v>12</v>
      </c>
      <c r="H108">
        <v>240000</v>
      </c>
      <c r="I108">
        <v>240000</v>
      </c>
      <c r="J108" t="s">
        <v>144</v>
      </c>
    </row>
    <row r="109" spans="1:10" hidden="1" x14ac:dyDescent="0.25">
      <c r="A109" s="2">
        <v>46111</v>
      </c>
      <c r="B109" t="s">
        <v>10</v>
      </c>
      <c r="C109" t="s">
        <v>11</v>
      </c>
      <c r="D109" t="s">
        <v>12</v>
      </c>
      <c r="H109">
        <v>240000</v>
      </c>
      <c r="I109">
        <v>240000</v>
      </c>
      <c r="J109" t="s">
        <v>144</v>
      </c>
    </row>
    <row r="110" spans="1:10" hidden="1" x14ac:dyDescent="0.25">
      <c r="A110" s="2">
        <v>46130</v>
      </c>
      <c r="B110" t="s">
        <v>10</v>
      </c>
      <c r="C110" t="s">
        <v>11</v>
      </c>
      <c r="D110" t="s">
        <v>12</v>
      </c>
      <c r="H110">
        <v>240000</v>
      </c>
      <c r="I110">
        <v>240000</v>
      </c>
      <c r="J110" t="s">
        <v>144</v>
      </c>
    </row>
    <row r="111" spans="1:10" hidden="1" x14ac:dyDescent="0.25">
      <c r="A111" s="2">
        <v>46140</v>
      </c>
      <c r="B111" t="s">
        <v>10</v>
      </c>
      <c r="C111" t="s">
        <v>11</v>
      </c>
      <c r="D111" t="s">
        <v>12</v>
      </c>
      <c r="H111">
        <v>240000</v>
      </c>
      <c r="I111">
        <v>240000</v>
      </c>
      <c r="J111" t="s">
        <v>144</v>
      </c>
    </row>
    <row r="112" spans="1:10" hidden="1" x14ac:dyDescent="0.25">
      <c r="A112" s="2">
        <v>46158</v>
      </c>
      <c r="B112" t="s">
        <v>10</v>
      </c>
      <c r="C112" t="s">
        <v>11</v>
      </c>
      <c r="D112" t="s">
        <v>12</v>
      </c>
      <c r="H112">
        <v>240000</v>
      </c>
      <c r="I112">
        <v>240000</v>
      </c>
      <c r="J112" t="s">
        <v>144</v>
      </c>
    </row>
    <row r="113" spans="1:10" hidden="1" x14ac:dyDescent="0.25">
      <c r="A113" s="2">
        <v>46162</v>
      </c>
      <c r="B113" t="s">
        <v>10</v>
      </c>
      <c r="C113" t="s">
        <v>11</v>
      </c>
      <c r="D113" t="s">
        <v>12</v>
      </c>
      <c r="H113">
        <v>240000</v>
      </c>
      <c r="I113">
        <v>240000</v>
      </c>
      <c r="J113" t="s">
        <v>144</v>
      </c>
    </row>
    <row r="114" spans="1:10" hidden="1" x14ac:dyDescent="0.25">
      <c r="A114" s="2">
        <v>46188</v>
      </c>
      <c r="B114" t="s">
        <v>10</v>
      </c>
      <c r="C114" t="s">
        <v>11</v>
      </c>
      <c r="D114" t="s">
        <v>12</v>
      </c>
      <c r="H114">
        <v>240000</v>
      </c>
      <c r="I114">
        <v>240000</v>
      </c>
      <c r="J114" t="s">
        <v>144</v>
      </c>
    </row>
    <row r="115" spans="1:10" hidden="1" x14ac:dyDescent="0.25">
      <c r="A115" s="2">
        <v>46204</v>
      </c>
      <c r="B115" t="s">
        <v>10</v>
      </c>
      <c r="C115" t="s">
        <v>11</v>
      </c>
      <c r="D115" t="s">
        <v>12</v>
      </c>
      <c r="H115">
        <v>240000</v>
      </c>
      <c r="I115">
        <v>240000</v>
      </c>
      <c r="J115" t="s">
        <v>144</v>
      </c>
    </row>
    <row r="116" spans="1:10" hidden="1" x14ac:dyDescent="0.25">
      <c r="A116" s="2">
        <v>46224</v>
      </c>
      <c r="B116" t="s">
        <v>10</v>
      </c>
      <c r="C116" t="s">
        <v>11</v>
      </c>
      <c r="D116" t="s">
        <v>12</v>
      </c>
      <c r="H116">
        <v>240000</v>
      </c>
      <c r="I116">
        <v>240000</v>
      </c>
      <c r="J116" t="s">
        <v>144</v>
      </c>
    </row>
    <row r="117" spans="1:10" hidden="1" x14ac:dyDescent="0.25">
      <c r="A117" s="2">
        <v>45662</v>
      </c>
      <c r="B117" t="s">
        <v>14</v>
      </c>
      <c r="C117" t="s">
        <v>15</v>
      </c>
      <c r="D117" t="s">
        <v>16</v>
      </c>
      <c r="H117">
        <v>240000</v>
      </c>
      <c r="I117">
        <v>240000</v>
      </c>
      <c r="J117" t="s">
        <v>144</v>
      </c>
    </row>
    <row r="118" spans="1:10" hidden="1" x14ac:dyDescent="0.25">
      <c r="A118" s="2">
        <v>45670</v>
      </c>
      <c r="B118" t="s">
        <v>14</v>
      </c>
      <c r="C118" t="s">
        <v>15</v>
      </c>
      <c r="D118" t="s">
        <v>16</v>
      </c>
      <c r="H118">
        <v>240000</v>
      </c>
      <c r="I118">
        <v>240000</v>
      </c>
      <c r="J118" t="s">
        <v>144</v>
      </c>
    </row>
    <row r="119" spans="1:10" hidden="1" x14ac:dyDescent="0.25">
      <c r="A119" s="2">
        <v>45678</v>
      </c>
      <c r="B119" t="s">
        <v>14</v>
      </c>
      <c r="C119" t="s">
        <v>15</v>
      </c>
      <c r="D119" t="s">
        <v>16</v>
      </c>
      <c r="H119">
        <v>240000</v>
      </c>
      <c r="I119">
        <v>240000</v>
      </c>
      <c r="J119" t="s">
        <v>144</v>
      </c>
    </row>
    <row r="120" spans="1:10" hidden="1" x14ac:dyDescent="0.25">
      <c r="A120" s="2">
        <v>45686</v>
      </c>
      <c r="B120" t="s">
        <v>14</v>
      </c>
      <c r="C120" t="s">
        <v>15</v>
      </c>
      <c r="D120" t="s">
        <v>16</v>
      </c>
      <c r="H120">
        <v>240000</v>
      </c>
      <c r="I120">
        <v>240000</v>
      </c>
      <c r="J120" t="s">
        <v>144</v>
      </c>
    </row>
    <row r="121" spans="1:10" hidden="1" x14ac:dyDescent="0.25">
      <c r="A121" s="2">
        <v>45694</v>
      </c>
      <c r="B121" t="s">
        <v>14</v>
      </c>
      <c r="C121" t="s">
        <v>15</v>
      </c>
      <c r="D121" t="s">
        <v>16</v>
      </c>
      <c r="H121">
        <v>240000</v>
      </c>
      <c r="I121">
        <v>240000</v>
      </c>
      <c r="J121" t="s">
        <v>144</v>
      </c>
    </row>
    <row r="122" spans="1:10" hidden="1" x14ac:dyDescent="0.25">
      <c r="A122" s="2">
        <v>45702</v>
      </c>
      <c r="B122" t="s">
        <v>14</v>
      </c>
      <c r="C122" t="s">
        <v>15</v>
      </c>
      <c r="D122" t="s">
        <v>16</v>
      </c>
      <c r="H122">
        <v>240000</v>
      </c>
      <c r="I122">
        <v>240000</v>
      </c>
      <c r="J122" t="s">
        <v>144</v>
      </c>
    </row>
    <row r="123" spans="1:10" hidden="1" x14ac:dyDescent="0.25">
      <c r="A123" s="2">
        <v>45710</v>
      </c>
      <c r="B123" t="s">
        <v>14</v>
      </c>
      <c r="C123" t="s">
        <v>15</v>
      </c>
      <c r="D123" t="s">
        <v>16</v>
      </c>
      <c r="H123">
        <v>240000</v>
      </c>
      <c r="I123">
        <v>240000</v>
      </c>
      <c r="J123" t="s">
        <v>144</v>
      </c>
    </row>
    <row r="124" spans="1:10" hidden="1" x14ac:dyDescent="0.25">
      <c r="A124" s="2">
        <v>45718</v>
      </c>
      <c r="B124" t="s">
        <v>14</v>
      </c>
      <c r="C124" t="s">
        <v>15</v>
      </c>
      <c r="D124" t="s">
        <v>16</v>
      </c>
      <c r="H124">
        <v>240000</v>
      </c>
      <c r="I124">
        <v>240000</v>
      </c>
      <c r="J124" t="s">
        <v>144</v>
      </c>
    </row>
    <row r="125" spans="1:10" hidden="1" x14ac:dyDescent="0.25">
      <c r="A125" s="2">
        <v>45726</v>
      </c>
      <c r="B125" t="s">
        <v>14</v>
      </c>
      <c r="C125" t="s">
        <v>15</v>
      </c>
      <c r="D125" t="s">
        <v>16</v>
      </c>
      <c r="H125">
        <v>240000</v>
      </c>
      <c r="I125">
        <v>240000</v>
      </c>
      <c r="J125" t="s">
        <v>144</v>
      </c>
    </row>
    <row r="126" spans="1:10" hidden="1" x14ac:dyDescent="0.25">
      <c r="A126" s="2">
        <v>45734</v>
      </c>
      <c r="B126" t="s">
        <v>14</v>
      </c>
      <c r="C126" t="s">
        <v>15</v>
      </c>
      <c r="D126" t="s">
        <v>16</v>
      </c>
      <c r="H126">
        <v>240000</v>
      </c>
      <c r="I126">
        <v>240000</v>
      </c>
      <c r="J126" t="s">
        <v>144</v>
      </c>
    </row>
    <row r="127" spans="1:10" hidden="1" x14ac:dyDescent="0.25">
      <c r="A127" s="2">
        <v>45742</v>
      </c>
      <c r="B127" t="s">
        <v>14</v>
      </c>
      <c r="C127" t="s">
        <v>15</v>
      </c>
      <c r="D127" t="s">
        <v>16</v>
      </c>
      <c r="H127">
        <v>240000</v>
      </c>
      <c r="I127">
        <v>240000</v>
      </c>
      <c r="J127" t="s">
        <v>144</v>
      </c>
    </row>
    <row r="128" spans="1:10" hidden="1" x14ac:dyDescent="0.25">
      <c r="A128" s="2">
        <v>45751</v>
      </c>
      <c r="B128" t="s">
        <v>14</v>
      </c>
      <c r="C128" t="s">
        <v>15</v>
      </c>
      <c r="D128" t="s">
        <v>16</v>
      </c>
      <c r="H128">
        <v>240000</v>
      </c>
      <c r="I128">
        <v>240000</v>
      </c>
      <c r="J128" t="s">
        <v>144</v>
      </c>
    </row>
    <row r="129" spans="1:10" hidden="1" x14ac:dyDescent="0.25">
      <c r="A129" s="2">
        <v>45759</v>
      </c>
      <c r="B129" t="s">
        <v>14</v>
      </c>
      <c r="C129" t="s">
        <v>15</v>
      </c>
      <c r="D129" t="s">
        <v>16</v>
      </c>
      <c r="H129">
        <v>240000</v>
      </c>
      <c r="I129">
        <v>240000</v>
      </c>
      <c r="J129" t="s">
        <v>144</v>
      </c>
    </row>
    <row r="130" spans="1:10" hidden="1" x14ac:dyDescent="0.25">
      <c r="A130" s="2">
        <v>45767</v>
      </c>
      <c r="B130" t="s">
        <v>14</v>
      </c>
      <c r="C130" t="s">
        <v>15</v>
      </c>
      <c r="D130" t="s">
        <v>16</v>
      </c>
      <c r="H130">
        <v>240000</v>
      </c>
      <c r="I130">
        <v>240000</v>
      </c>
      <c r="J130" t="s">
        <v>144</v>
      </c>
    </row>
    <row r="131" spans="1:10" hidden="1" x14ac:dyDescent="0.25">
      <c r="A131" s="2">
        <v>45775</v>
      </c>
      <c r="B131" t="s">
        <v>14</v>
      </c>
      <c r="C131" t="s">
        <v>15</v>
      </c>
      <c r="D131" t="s">
        <v>16</v>
      </c>
      <c r="H131">
        <v>240000</v>
      </c>
      <c r="I131">
        <v>240000</v>
      </c>
      <c r="J131" t="s">
        <v>144</v>
      </c>
    </row>
    <row r="132" spans="1:10" hidden="1" x14ac:dyDescent="0.25">
      <c r="A132" s="2">
        <v>45783</v>
      </c>
      <c r="B132" t="s">
        <v>14</v>
      </c>
      <c r="C132" t="s">
        <v>15</v>
      </c>
      <c r="D132" t="s">
        <v>16</v>
      </c>
      <c r="H132">
        <v>240000</v>
      </c>
      <c r="I132">
        <v>240000</v>
      </c>
      <c r="J132" t="s">
        <v>144</v>
      </c>
    </row>
    <row r="133" spans="1:10" hidden="1" x14ac:dyDescent="0.25">
      <c r="A133" s="2">
        <v>45791</v>
      </c>
      <c r="B133" t="s">
        <v>14</v>
      </c>
      <c r="C133" t="s">
        <v>15</v>
      </c>
      <c r="D133" t="s">
        <v>16</v>
      </c>
      <c r="H133">
        <v>240000</v>
      </c>
      <c r="I133">
        <v>240000</v>
      </c>
      <c r="J133" t="s">
        <v>144</v>
      </c>
    </row>
    <row r="134" spans="1:10" hidden="1" x14ac:dyDescent="0.25">
      <c r="A134" s="2">
        <v>45799</v>
      </c>
      <c r="B134" t="s">
        <v>14</v>
      </c>
      <c r="C134" t="s">
        <v>15</v>
      </c>
      <c r="D134" t="s">
        <v>16</v>
      </c>
      <c r="H134">
        <v>240000</v>
      </c>
      <c r="I134">
        <v>240000</v>
      </c>
      <c r="J134" t="s">
        <v>144</v>
      </c>
    </row>
    <row r="135" spans="1:10" hidden="1" x14ac:dyDescent="0.25">
      <c r="A135" s="2">
        <v>45807</v>
      </c>
      <c r="B135" t="s">
        <v>14</v>
      </c>
      <c r="C135" t="s">
        <v>15</v>
      </c>
      <c r="D135" t="s">
        <v>16</v>
      </c>
      <c r="H135">
        <v>240000</v>
      </c>
      <c r="I135">
        <v>240000</v>
      </c>
      <c r="J135" t="s">
        <v>144</v>
      </c>
    </row>
    <row r="136" spans="1:10" hidden="1" x14ac:dyDescent="0.25">
      <c r="A136" s="2">
        <v>45818</v>
      </c>
      <c r="B136" t="s">
        <v>14</v>
      </c>
      <c r="C136" t="s">
        <v>15</v>
      </c>
      <c r="D136" t="s">
        <v>16</v>
      </c>
      <c r="H136">
        <v>240000</v>
      </c>
      <c r="I136">
        <v>240000</v>
      </c>
      <c r="J136" t="s">
        <v>144</v>
      </c>
    </row>
    <row r="137" spans="1:10" hidden="1" x14ac:dyDescent="0.25">
      <c r="A137" s="2">
        <v>45824</v>
      </c>
      <c r="B137" t="s">
        <v>14</v>
      </c>
      <c r="C137" t="s">
        <v>15</v>
      </c>
      <c r="D137" t="s">
        <v>16</v>
      </c>
      <c r="H137">
        <v>240000</v>
      </c>
      <c r="I137">
        <v>240000</v>
      </c>
      <c r="J137" t="s">
        <v>144</v>
      </c>
    </row>
    <row r="138" spans="1:10" hidden="1" x14ac:dyDescent="0.25">
      <c r="A138" s="2">
        <v>45833</v>
      </c>
      <c r="B138" t="s">
        <v>14</v>
      </c>
      <c r="C138" t="s">
        <v>15</v>
      </c>
      <c r="D138" t="s">
        <v>16</v>
      </c>
      <c r="H138">
        <v>240000</v>
      </c>
      <c r="I138">
        <v>240000</v>
      </c>
      <c r="J138" t="s">
        <v>144</v>
      </c>
    </row>
    <row r="139" spans="1:10" hidden="1" x14ac:dyDescent="0.25">
      <c r="A139" s="2">
        <v>45841</v>
      </c>
      <c r="B139" t="s">
        <v>14</v>
      </c>
      <c r="C139" t="s">
        <v>15</v>
      </c>
      <c r="D139" t="s">
        <v>16</v>
      </c>
      <c r="H139">
        <v>240000</v>
      </c>
      <c r="I139">
        <v>240000</v>
      </c>
      <c r="J139" t="s">
        <v>144</v>
      </c>
    </row>
    <row r="140" spans="1:10" hidden="1" x14ac:dyDescent="0.25">
      <c r="A140" s="2">
        <v>45848</v>
      </c>
      <c r="B140" t="s">
        <v>14</v>
      </c>
      <c r="C140" t="s">
        <v>15</v>
      </c>
      <c r="D140" t="s">
        <v>16</v>
      </c>
      <c r="H140">
        <v>240000</v>
      </c>
      <c r="I140">
        <v>240000</v>
      </c>
      <c r="J140" t="s">
        <v>144</v>
      </c>
    </row>
    <row r="141" spans="1:10" hidden="1" x14ac:dyDescent="0.25">
      <c r="A141" s="2">
        <v>45856</v>
      </c>
      <c r="B141" t="s">
        <v>14</v>
      </c>
      <c r="C141" t="s">
        <v>15</v>
      </c>
      <c r="D141" t="s">
        <v>16</v>
      </c>
      <c r="H141">
        <v>240000</v>
      </c>
      <c r="I141">
        <v>240000</v>
      </c>
      <c r="J141" t="s">
        <v>144</v>
      </c>
    </row>
    <row r="142" spans="1:10" hidden="1" x14ac:dyDescent="0.25">
      <c r="A142" s="2">
        <v>45864</v>
      </c>
      <c r="B142" t="s">
        <v>14</v>
      </c>
      <c r="C142" t="s">
        <v>15</v>
      </c>
      <c r="D142" t="s">
        <v>16</v>
      </c>
      <c r="H142">
        <v>240000</v>
      </c>
      <c r="I142">
        <v>240000</v>
      </c>
      <c r="J142" t="s">
        <v>144</v>
      </c>
    </row>
    <row r="143" spans="1:10" hidden="1" x14ac:dyDescent="0.25">
      <c r="A143" s="2">
        <v>45872</v>
      </c>
      <c r="B143" t="s">
        <v>14</v>
      </c>
      <c r="C143" t="s">
        <v>15</v>
      </c>
      <c r="D143" t="s">
        <v>16</v>
      </c>
      <c r="H143">
        <v>240000</v>
      </c>
      <c r="I143">
        <v>240000</v>
      </c>
      <c r="J143" t="s">
        <v>144</v>
      </c>
    </row>
    <row r="144" spans="1:10" hidden="1" x14ac:dyDescent="0.25">
      <c r="A144" s="2">
        <v>45880</v>
      </c>
      <c r="B144" t="s">
        <v>14</v>
      </c>
      <c r="C144" t="s">
        <v>15</v>
      </c>
      <c r="D144" t="s">
        <v>16</v>
      </c>
      <c r="H144">
        <v>240000</v>
      </c>
      <c r="I144">
        <v>240000</v>
      </c>
      <c r="J144" t="s">
        <v>144</v>
      </c>
    </row>
    <row r="145" spans="1:10" hidden="1" x14ac:dyDescent="0.25">
      <c r="A145" s="2">
        <v>45889</v>
      </c>
      <c r="B145" t="s">
        <v>14</v>
      </c>
      <c r="C145" t="s">
        <v>15</v>
      </c>
      <c r="D145" t="s">
        <v>16</v>
      </c>
      <c r="H145">
        <v>240000</v>
      </c>
      <c r="I145">
        <v>240000</v>
      </c>
      <c r="J145" t="s">
        <v>144</v>
      </c>
    </row>
    <row r="146" spans="1:10" hidden="1" x14ac:dyDescent="0.25">
      <c r="A146" s="2">
        <v>45897</v>
      </c>
      <c r="B146" t="s">
        <v>14</v>
      </c>
      <c r="C146" t="s">
        <v>15</v>
      </c>
      <c r="D146" t="s">
        <v>16</v>
      </c>
      <c r="H146">
        <v>240000</v>
      </c>
      <c r="I146">
        <v>240000</v>
      </c>
      <c r="J146" t="s">
        <v>144</v>
      </c>
    </row>
    <row r="147" spans="1:10" hidden="1" x14ac:dyDescent="0.25">
      <c r="A147" s="2">
        <v>45908</v>
      </c>
      <c r="B147" t="s">
        <v>14</v>
      </c>
      <c r="C147" t="s">
        <v>15</v>
      </c>
      <c r="D147" t="s">
        <v>16</v>
      </c>
      <c r="H147">
        <v>240000</v>
      </c>
      <c r="I147">
        <v>240000</v>
      </c>
      <c r="J147" t="s">
        <v>144</v>
      </c>
    </row>
    <row r="148" spans="1:10" hidden="1" x14ac:dyDescent="0.25">
      <c r="A148" s="2">
        <v>45913</v>
      </c>
      <c r="B148" t="s">
        <v>14</v>
      </c>
      <c r="C148" t="s">
        <v>15</v>
      </c>
      <c r="D148" t="s">
        <v>16</v>
      </c>
      <c r="H148">
        <v>240000</v>
      </c>
      <c r="I148">
        <v>240000</v>
      </c>
      <c r="J148" t="s">
        <v>144</v>
      </c>
    </row>
    <row r="149" spans="1:10" hidden="1" x14ac:dyDescent="0.25">
      <c r="A149" s="2">
        <v>45921</v>
      </c>
      <c r="B149" t="s">
        <v>14</v>
      </c>
      <c r="C149" t="s">
        <v>15</v>
      </c>
      <c r="D149" t="s">
        <v>16</v>
      </c>
      <c r="H149">
        <v>240000</v>
      </c>
      <c r="I149">
        <v>240000</v>
      </c>
      <c r="J149" t="s">
        <v>144</v>
      </c>
    </row>
    <row r="150" spans="1:10" hidden="1" x14ac:dyDescent="0.25">
      <c r="A150" s="2">
        <v>45936</v>
      </c>
      <c r="B150" t="s">
        <v>14</v>
      </c>
      <c r="C150" t="s">
        <v>15</v>
      </c>
      <c r="D150" t="s">
        <v>16</v>
      </c>
      <c r="H150">
        <v>240000</v>
      </c>
      <c r="I150">
        <v>240000</v>
      </c>
      <c r="J150" t="s">
        <v>144</v>
      </c>
    </row>
    <row r="151" spans="1:10" hidden="1" x14ac:dyDescent="0.25">
      <c r="A151" s="2">
        <v>45945</v>
      </c>
      <c r="B151" t="s">
        <v>14</v>
      </c>
      <c r="C151" t="s">
        <v>15</v>
      </c>
      <c r="D151" t="s">
        <v>16</v>
      </c>
      <c r="H151">
        <v>240000</v>
      </c>
      <c r="I151">
        <v>240000</v>
      </c>
      <c r="J151" t="s">
        <v>144</v>
      </c>
    </row>
    <row r="152" spans="1:10" hidden="1" x14ac:dyDescent="0.25">
      <c r="A152" s="2">
        <v>45953</v>
      </c>
      <c r="B152" t="s">
        <v>14</v>
      </c>
      <c r="C152" t="s">
        <v>15</v>
      </c>
      <c r="D152" t="s">
        <v>16</v>
      </c>
      <c r="H152">
        <v>240000</v>
      </c>
      <c r="I152">
        <v>240000</v>
      </c>
      <c r="J152" t="s">
        <v>144</v>
      </c>
    </row>
    <row r="153" spans="1:10" hidden="1" x14ac:dyDescent="0.25">
      <c r="A153" s="2">
        <v>45966</v>
      </c>
      <c r="B153" t="s">
        <v>14</v>
      </c>
      <c r="C153" t="s">
        <v>15</v>
      </c>
      <c r="D153" t="s">
        <v>16</v>
      </c>
      <c r="H153">
        <v>240000</v>
      </c>
      <c r="I153">
        <v>240000</v>
      </c>
      <c r="J153" t="s">
        <v>144</v>
      </c>
    </row>
    <row r="154" spans="1:10" hidden="1" x14ac:dyDescent="0.25">
      <c r="A154" s="2">
        <v>45975</v>
      </c>
      <c r="B154" t="s">
        <v>14</v>
      </c>
      <c r="C154" t="s">
        <v>15</v>
      </c>
      <c r="D154" t="s">
        <v>16</v>
      </c>
      <c r="H154">
        <v>240000</v>
      </c>
      <c r="I154">
        <v>240000</v>
      </c>
      <c r="J154" t="s">
        <v>144</v>
      </c>
    </row>
    <row r="155" spans="1:10" hidden="1" x14ac:dyDescent="0.25">
      <c r="A155" s="2">
        <v>45985</v>
      </c>
      <c r="B155" t="s">
        <v>14</v>
      </c>
      <c r="C155" t="s">
        <v>15</v>
      </c>
      <c r="D155" t="s">
        <v>16</v>
      </c>
      <c r="H155">
        <v>240000</v>
      </c>
      <c r="I155">
        <v>240000</v>
      </c>
      <c r="J155" t="s">
        <v>144</v>
      </c>
    </row>
    <row r="156" spans="1:10" hidden="1" x14ac:dyDescent="0.25">
      <c r="A156" s="2">
        <v>45993</v>
      </c>
      <c r="B156" t="s">
        <v>14</v>
      </c>
      <c r="C156" t="s">
        <v>15</v>
      </c>
      <c r="D156" t="s">
        <v>16</v>
      </c>
      <c r="H156">
        <v>240000</v>
      </c>
      <c r="I156">
        <v>240000</v>
      </c>
      <c r="J156" t="s">
        <v>144</v>
      </c>
    </row>
    <row r="157" spans="1:10" hidden="1" x14ac:dyDescent="0.25">
      <c r="A157" s="2">
        <v>46004</v>
      </c>
      <c r="B157" t="s">
        <v>14</v>
      </c>
      <c r="C157" t="s">
        <v>15</v>
      </c>
      <c r="D157" t="s">
        <v>16</v>
      </c>
      <c r="H157">
        <v>240000</v>
      </c>
      <c r="I157">
        <v>240000</v>
      </c>
      <c r="J157" t="s">
        <v>144</v>
      </c>
    </row>
    <row r="158" spans="1:10" hidden="1" x14ac:dyDescent="0.25">
      <c r="A158" s="2">
        <v>46010</v>
      </c>
      <c r="B158" t="s">
        <v>14</v>
      </c>
      <c r="C158" t="s">
        <v>15</v>
      </c>
      <c r="D158" t="s">
        <v>16</v>
      </c>
      <c r="H158">
        <v>240000</v>
      </c>
      <c r="I158">
        <v>240000</v>
      </c>
      <c r="J158" t="s">
        <v>144</v>
      </c>
    </row>
    <row r="159" spans="1:10" hidden="1" x14ac:dyDescent="0.25">
      <c r="A159" s="2">
        <v>46020</v>
      </c>
      <c r="B159" t="s">
        <v>14</v>
      </c>
      <c r="C159" t="s">
        <v>15</v>
      </c>
      <c r="D159" t="s">
        <v>16</v>
      </c>
      <c r="H159">
        <v>240000</v>
      </c>
      <c r="I159">
        <v>240000</v>
      </c>
      <c r="J159" t="s">
        <v>144</v>
      </c>
    </row>
    <row r="160" spans="1:10" hidden="1" x14ac:dyDescent="0.25">
      <c r="A160" s="2">
        <v>46035</v>
      </c>
      <c r="B160" t="s">
        <v>14</v>
      </c>
      <c r="C160" t="s">
        <v>15</v>
      </c>
      <c r="D160" t="s">
        <v>16</v>
      </c>
      <c r="H160">
        <v>240000</v>
      </c>
      <c r="I160">
        <v>240000</v>
      </c>
      <c r="J160" t="s">
        <v>144</v>
      </c>
    </row>
    <row r="161" spans="1:10" hidden="1" x14ac:dyDescent="0.25">
      <c r="A161" s="2">
        <v>46042</v>
      </c>
      <c r="B161" t="s">
        <v>14</v>
      </c>
      <c r="C161" t="s">
        <v>15</v>
      </c>
      <c r="D161" t="s">
        <v>16</v>
      </c>
      <c r="H161">
        <v>240000</v>
      </c>
      <c r="I161">
        <v>240000</v>
      </c>
      <c r="J161" t="s">
        <v>144</v>
      </c>
    </row>
    <row r="162" spans="1:10" hidden="1" x14ac:dyDescent="0.25">
      <c r="A162" s="2">
        <v>46055</v>
      </c>
      <c r="B162" t="s">
        <v>14</v>
      </c>
      <c r="C162" t="s">
        <v>15</v>
      </c>
      <c r="D162" t="s">
        <v>16</v>
      </c>
      <c r="H162">
        <v>240000</v>
      </c>
      <c r="I162">
        <v>240000</v>
      </c>
      <c r="J162" t="s">
        <v>144</v>
      </c>
    </row>
    <row r="163" spans="1:10" hidden="1" x14ac:dyDescent="0.25">
      <c r="A163" s="2">
        <v>46062</v>
      </c>
      <c r="B163" t="s">
        <v>14</v>
      </c>
      <c r="C163" t="s">
        <v>15</v>
      </c>
      <c r="D163" t="s">
        <v>16</v>
      </c>
      <c r="H163">
        <v>240000</v>
      </c>
      <c r="I163">
        <v>240000</v>
      </c>
      <c r="J163" t="s">
        <v>144</v>
      </c>
    </row>
    <row r="164" spans="1:10" hidden="1" x14ac:dyDescent="0.25">
      <c r="A164" s="2">
        <v>46068</v>
      </c>
      <c r="B164" t="s">
        <v>14</v>
      </c>
      <c r="C164" t="s">
        <v>15</v>
      </c>
      <c r="D164" t="s">
        <v>16</v>
      </c>
      <c r="H164">
        <v>240000</v>
      </c>
      <c r="I164">
        <v>240000</v>
      </c>
      <c r="J164" t="s">
        <v>144</v>
      </c>
    </row>
    <row r="165" spans="1:10" hidden="1" x14ac:dyDescent="0.25">
      <c r="A165" s="2">
        <v>46078</v>
      </c>
      <c r="B165" t="s">
        <v>14</v>
      </c>
      <c r="C165" t="s">
        <v>15</v>
      </c>
      <c r="D165" t="s">
        <v>16</v>
      </c>
      <c r="H165">
        <v>240000</v>
      </c>
      <c r="I165">
        <v>240000</v>
      </c>
      <c r="J165" t="s">
        <v>144</v>
      </c>
    </row>
    <row r="166" spans="1:10" hidden="1" x14ac:dyDescent="0.25">
      <c r="A166" s="2">
        <v>46084</v>
      </c>
      <c r="B166" t="s">
        <v>14</v>
      </c>
      <c r="C166" t="s">
        <v>15</v>
      </c>
      <c r="D166" t="s">
        <v>16</v>
      </c>
      <c r="H166">
        <v>240000</v>
      </c>
      <c r="I166">
        <v>240000</v>
      </c>
      <c r="J166" t="s">
        <v>144</v>
      </c>
    </row>
    <row r="167" spans="1:10" hidden="1" x14ac:dyDescent="0.25">
      <c r="A167" s="2">
        <v>46091</v>
      </c>
      <c r="B167" t="s">
        <v>14</v>
      </c>
      <c r="C167" t="s">
        <v>15</v>
      </c>
      <c r="D167" t="s">
        <v>16</v>
      </c>
      <c r="H167">
        <v>240000</v>
      </c>
      <c r="I167">
        <v>240000</v>
      </c>
      <c r="J167" t="s">
        <v>144</v>
      </c>
    </row>
    <row r="168" spans="1:10" hidden="1" x14ac:dyDescent="0.25">
      <c r="A168" s="2">
        <v>46098</v>
      </c>
      <c r="B168" t="s">
        <v>14</v>
      </c>
      <c r="C168" t="s">
        <v>15</v>
      </c>
      <c r="D168" t="s">
        <v>16</v>
      </c>
      <c r="H168">
        <v>240000</v>
      </c>
      <c r="I168">
        <v>240000</v>
      </c>
      <c r="J168" t="s">
        <v>144</v>
      </c>
    </row>
    <row r="169" spans="1:10" hidden="1" x14ac:dyDescent="0.25">
      <c r="A169" s="2">
        <v>46110</v>
      </c>
      <c r="B169" t="s">
        <v>14</v>
      </c>
      <c r="C169" t="s">
        <v>15</v>
      </c>
      <c r="D169" t="s">
        <v>16</v>
      </c>
      <c r="H169">
        <v>240000</v>
      </c>
      <c r="I169">
        <v>240000</v>
      </c>
      <c r="J169" t="s">
        <v>144</v>
      </c>
    </row>
    <row r="170" spans="1:10" hidden="1" x14ac:dyDescent="0.25">
      <c r="A170" s="2">
        <v>46117</v>
      </c>
      <c r="B170" t="s">
        <v>14</v>
      </c>
      <c r="C170" t="s">
        <v>15</v>
      </c>
      <c r="D170" t="s">
        <v>16</v>
      </c>
      <c r="H170">
        <v>240000</v>
      </c>
      <c r="I170">
        <v>240000</v>
      </c>
      <c r="J170" t="s">
        <v>144</v>
      </c>
    </row>
    <row r="171" spans="1:10" hidden="1" x14ac:dyDescent="0.25">
      <c r="A171" s="2">
        <v>46123</v>
      </c>
      <c r="B171" t="s">
        <v>14</v>
      </c>
      <c r="C171" t="s">
        <v>15</v>
      </c>
      <c r="D171" t="s">
        <v>16</v>
      </c>
      <c r="H171">
        <v>240000</v>
      </c>
      <c r="I171">
        <v>240000</v>
      </c>
      <c r="J171" t="s">
        <v>144</v>
      </c>
    </row>
    <row r="172" spans="1:10" hidden="1" x14ac:dyDescent="0.25">
      <c r="A172" s="2">
        <v>46132</v>
      </c>
      <c r="B172" t="s">
        <v>14</v>
      </c>
      <c r="C172" t="s">
        <v>15</v>
      </c>
      <c r="D172" t="s">
        <v>16</v>
      </c>
      <c r="H172">
        <v>240000</v>
      </c>
      <c r="I172">
        <v>240000</v>
      </c>
      <c r="J172" t="s">
        <v>144</v>
      </c>
    </row>
    <row r="173" spans="1:10" hidden="1" x14ac:dyDescent="0.25">
      <c r="A173" s="2">
        <v>46141</v>
      </c>
      <c r="B173" t="s">
        <v>14</v>
      </c>
      <c r="C173" t="s">
        <v>15</v>
      </c>
      <c r="D173" t="s">
        <v>16</v>
      </c>
      <c r="H173">
        <v>240000</v>
      </c>
      <c r="I173">
        <v>240000</v>
      </c>
      <c r="J173" t="s">
        <v>144</v>
      </c>
    </row>
    <row r="174" spans="1:10" hidden="1" x14ac:dyDescent="0.25">
      <c r="A174" s="2">
        <v>46154</v>
      </c>
      <c r="B174" t="s">
        <v>14</v>
      </c>
      <c r="C174" t="s">
        <v>15</v>
      </c>
      <c r="D174" t="s">
        <v>16</v>
      </c>
      <c r="H174">
        <v>240000</v>
      </c>
      <c r="I174">
        <v>240000</v>
      </c>
      <c r="J174" t="s">
        <v>144</v>
      </c>
    </row>
    <row r="175" spans="1:10" hidden="1" x14ac:dyDescent="0.25">
      <c r="A175" s="2">
        <v>46175</v>
      </c>
      <c r="B175" t="s">
        <v>14</v>
      </c>
      <c r="C175" t="s">
        <v>15</v>
      </c>
      <c r="D175" t="s">
        <v>16</v>
      </c>
      <c r="H175">
        <v>240000</v>
      </c>
      <c r="I175">
        <v>240000</v>
      </c>
      <c r="J175" t="s">
        <v>144</v>
      </c>
    </row>
    <row r="176" spans="1:10" hidden="1" x14ac:dyDescent="0.25">
      <c r="A176" s="2">
        <v>46182</v>
      </c>
      <c r="B176" t="s">
        <v>14</v>
      </c>
      <c r="C176" t="s">
        <v>15</v>
      </c>
      <c r="D176" t="s">
        <v>16</v>
      </c>
      <c r="H176">
        <v>240000</v>
      </c>
      <c r="I176">
        <v>240000</v>
      </c>
      <c r="J176" t="s">
        <v>144</v>
      </c>
    </row>
    <row r="177" spans="1:10" hidden="1" x14ac:dyDescent="0.25">
      <c r="A177" s="2">
        <v>46195</v>
      </c>
      <c r="B177" t="s">
        <v>14</v>
      </c>
      <c r="C177" t="s">
        <v>15</v>
      </c>
      <c r="D177" t="s">
        <v>16</v>
      </c>
      <c r="H177">
        <v>240000</v>
      </c>
      <c r="I177">
        <v>240000</v>
      </c>
      <c r="J177" t="s">
        <v>144</v>
      </c>
    </row>
    <row r="178" spans="1:10" hidden="1" x14ac:dyDescent="0.25">
      <c r="A178" s="2">
        <v>46211</v>
      </c>
      <c r="B178" t="s">
        <v>14</v>
      </c>
      <c r="C178" t="s">
        <v>15</v>
      </c>
      <c r="D178" t="s">
        <v>16</v>
      </c>
      <c r="H178">
        <v>240000</v>
      </c>
      <c r="I178">
        <v>240000</v>
      </c>
      <c r="J178" t="s">
        <v>144</v>
      </c>
    </row>
    <row r="179" spans="1:10" hidden="1" x14ac:dyDescent="0.25">
      <c r="A179" s="2">
        <v>46225</v>
      </c>
      <c r="B179" t="s">
        <v>14</v>
      </c>
      <c r="C179" t="s">
        <v>15</v>
      </c>
      <c r="D179" t="s">
        <v>16</v>
      </c>
      <c r="H179">
        <v>240000</v>
      </c>
      <c r="I179">
        <v>240000</v>
      </c>
      <c r="J179" t="s">
        <v>144</v>
      </c>
    </row>
    <row r="180" spans="1:10" hidden="1" x14ac:dyDescent="0.25">
      <c r="A180" s="2">
        <v>45667</v>
      </c>
      <c r="B180" t="s">
        <v>18</v>
      </c>
      <c r="C180" t="s">
        <v>19</v>
      </c>
      <c r="D180" t="s">
        <v>20</v>
      </c>
      <c r="H180">
        <v>240000</v>
      </c>
      <c r="I180">
        <v>240000</v>
      </c>
      <c r="J180" t="s">
        <v>144</v>
      </c>
    </row>
    <row r="181" spans="1:10" hidden="1" x14ac:dyDescent="0.25">
      <c r="A181" s="2">
        <v>45675</v>
      </c>
      <c r="B181" t="s">
        <v>18</v>
      </c>
      <c r="C181" t="s">
        <v>19</v>
      </c>
      <c r="D181" t="s">
        <v>20</v>
      </c>
      <c r="H181">
        <v>240000</v>
      </c>
      <c r="I181">
        <v>240000</v>
      </c>
      <c r="J181" t="s">
        <v>144</v>
      </c>
    </row>
    <row r="182" spans="1:10" hidden="1" x14ac:dyDescent="0.25">
      <c r="A182" s="2">
        <v>45683</v>
      </c>
      <c r="B182" t="s">
        <v>18</v>
      </c>
      <c r="C182" t="s">
        <v>19</v>
      </c>
      <c r="D182" t="s">
        <v>20</v>
      </c>
      <c r="H182">
        <v>240000</v>
      </c>
      <c r="I182">
        <v>240000</v>
      </c>
      <c r="J182" t="s">
        <v>144</v>
      </c>
    </row>
    <row r="183" spans="1:10" hidden="1" x14ac:dyDescent="0.25">
      <c r="A183" s="2">
        <v>45691</v>
      </c>
      <c r="B183" t="s">
        <v>18</v>
      </c>
      <c r="C183" t="s">
        <v>19</v>
      </c>
      <c r="D183" t="s">
        <v>20</v>
      </c>
      <c r="H183">
        <v>240000</v>
      </c>
      <c r="I183">
        <v>240000</v>
      </c>
      <c r="J183" t="s">
        <v>144</v>
      </c>
    </row>
    <row r="184" spans="1:10" hidden="1" x14ac:dyDescent="0.25">
      <c r="A184" s="2">
        <v>45700</v>
      </c>
      <c r="B184" t="s">
        <v>18</v>
      </c>
      <c r="C184" t="s">
        <v>19</v>
      </c>
      <c r="D184" t="s">
        <v>20</v>
      </c>
      <c r="H184">
        <v>240000</v>
      </c>
      <c r="I184">
        <v>240000</v>
      </c>
      <c r="J184" t="s">
        <v>144</v>
      </c>
    </row>
    <row r="185" spans="1:10" hidden="1" x14ac:dyDescent="0.25">
      <c r="A185" s="2">
        <v>45708</v>
      </c>
      <c r="B185" t="s">
        <v>18</v>
      </c>
      <c r="C185" t="s">
        <v>19</v>
      </c>
      <c r="D185" t="s">
        <v>20</v>
      </c>
      <c r="H185">
        <v>240000</v>
      </c>
      <c r="I185">
        <v>240000</v>
      </c>
      <c r="J185" t="s">
        <v>144</v>
      </c>
    </row>
    <row r="186" spans="1:10" hidden="1" x14ac:dyDescent="0.25">
      <c r="A186" s="2">
        <v>45716</v>
      </c>
      <c r="B186" t="s">
        <v>18</v>
      </c>
      <c r="C186" t="s">
        <v>19</v>
      </c>
      <c r="D186" t="s">
        <v>20</v>
      </c>
      <c r="H186">
        <v>240000</v>
      </c>
      <c r="I186">
        <v>240000</v>
      </c>
      <c r="J186" t="s">
        <v>144</v>
      </c>
    </row>
    <row r="187" spans="1:10" hidden="1" x14ac:dyDescent="0.25">
      <c r="A187" s="2">
        <v>45724</v>
      </c>
      <c r="B187" t="s">
        <v>18</v>
      </c>
      <c r="C187" t="s">
        <v>19</v>
      </c>
      <c r="D187" t="s">
        <v>20</v>
      </c>
      <c r="H187">
        <v>240000</v>
      </c>
      <c r="I187">
        <v>240000</v>
      </c>
      <c r="J187" t="s">
        <v>144</v>
      </c>
    </row>
    <row r="188" spans="1:10" hidden="1" x14ac:dyDescent="0.25">
      <c r="A188" s="2">
        <v>45732</v>
      </c>
      <c r="B188" t="s">
        <v>18</v>
      </c>
      <c r="C188" t="s">
        <v>19</v>
      </c>
      <c r="D188" t="s">
        <v>20</v>
      </c>
      <c r="H188">
        <v>240000</v>
      </c>
      <c r="I188">
        <v>240000</v>
      </c>
      <c r="J188" t="s">
        <v>144</v>
      </c>
    </row>
    <row r="189" spans="1:10" hidden="1" x14ac:dyDescent="0.25">
      <c r="A189" s="2">
        <v>45743</v>
      </c>
      <c r="B189" t="s">
        <v>18</v>
      </c>
      <c r="C189" t="s">
        <v>19</v>
      </c>
      <c r="D189" t="s">
        <v>20</v>
      </c>
      <c r="H189">
        <v>240000</v>
      </c>
      <c r="I189">
        <v>240000</v>
      </c>
      <c r="J189" t="s">
        <v>144</v>
      </c>
    </row>
    <row r="190" spans="1:10" hidden="1" x14ac:dyDescent="0.25">
      <c r="A190" s="2">
        <v>45748</v>
      </c>
      <c r="B190" t="s">
        <v>18</v>
      </c>
      <c r="C190" t="s">
        <v>19</v>
      </c>
      <c r="D190" t="s">
        <v>20</v>
      </c>
      <c r="H190">
        <v>240000</v>
      </c>
      <c r="I190">
        <v>240000</v>
      </c>
      <c r="J190" t="s">
        <v>144</v>
      </c>
    </row>
    <row r="191" spans="1:10" hidden="1" x14ac:dyDescent="0.25">
      <c r="A191" s="2">
        <v>45756</v>
      </c>
      <c r="B191" t="s">
        <v>18</v>
      </c>
      <c r="C191" t="s">
        <v>19</v>
      </c>
      <c r="D191" t="s">
        <v>20</v>
      </c>
      <c r="H191">
        <v>240000</v>
      </c>
      <c r="I191">
        <v>240000</v>
      </c>
      <c r="J191" t="s">
        <v>144</v>
      </c>
    </row>
    <row r="192" spans="1:10" hidden="1" x14ac:dyDescent="0.25">
      <c r="A192" s="2">
        <v>45764</v>
      </c>
      <c r="B192" t="s">
        <v>18</v>
      </c>
      <c r="C192" t="s">
        <v>19</v>
      </c>
      <c r="D192" t="s">
        <v>20</v>
      </c>
      <c r="H192">
        <v>240000</v>
      </c>
      <c r="I192">
        <v>240000</v>
      </c>
      <c r="J192" t="s">
        <v>144</v>
      </c>
    </row>
    <row r="193" spans="1:10" hidden="1" x14ac:dyDescent="0.25">
      <c r="A193" s="2">
        <v>45772</v>
      </c>
      <c r="B193" t="s">
        <v>18</v>
      </c>
      <c r="C193" t="s">
        <v>19</v>
      </c>
      <c r="D193" t="s">
        <v>20</v>
      </c>
      <c r="H193">
        <v>240000</v>
      </c>
      <c r="I193">
        <v>240000</v>
      </c>
      <c r="J193" t="s">
        <v>144</v>
      </c>
    </row>
    <row r="194" spans="1:10" hidden="1" x14ac:dyDescent="0.25">
      <c r="A194" s="2">
        <v>45780</v>
      </c>
      <c r="B194" t="s">
        <v>18</v>
      </c>
      <c r="C194" t="s">
        <v>19</v>
      </c>
      <c r="D194" t="s">
        <v>20</v>
      </c>
      <c r="H194">
        <v>240000</v>
      </c>
      <c r="I194">
        <v>240000</v>
      </c>
      <c r="J194" t="s">
        <v>144</v>
      </c>
    </row>
    <row r="195" spans="1:10" hidden="1" x14ac:dyDescent="0.25">
      <c r="A195" s="2">
        <v>45788</v>
      </c>
      <c r="B195" t="s">
        <v>18</v>
      </c>
      <c r="C195" t="s">
        <v>19</v>
      </c>
      <c r="D195" t="s">
        <v>20</v>
      </c>
      <c r="H195">
        <v>240000</v>
      </c>
      <c r="I195">
        <v>240000</v>
      </c>
      <c r="J195" t="s">
        <v>144</v>
      </c>
    </row>
    <row r="196" spans="1:10" hidden="1" x14ac:dyDescent="0.25">
      <c r="A196" s="2">
        <v>45794</v>
      </c>
      <c r="B196" t="s">
        <v>18</v>
      </c>
      <c r="C196" t="s">
        <v>19</v>
      </c>
      <c r="D196" t="s">
        <v>20</v>
      </c>
      <c r="H196">
        <v>240000</v>
      </c>
      <c r="I196">
        <v>240000</v>
      </c>
      <c r="J196" t="s">
        <v>144</v>
      </c>
    </row>
    <row r="197" spans="1:10" hidden="1" x14ac:dyDescent="0.25">
      <c r="A197" s="2">
        <v>45799</v>
      </c>
      <c r="B197" t="s">
        <v>18</v>
      </c>
      <c r="C197" t="s">
        <v>19</v>
      </c>
      <c r="D197" t="s">
        <v>20</v>
      </c>
      <c r="H197">
        <v>240000</v>
      </c>
      <c r="I197">
        <v>240000</v>
      </c>
      <c r="J197" t="s">
        <v>144</v>
      </c>
    </row>
    <row r="198" spans="1:10" hidden="1" x14ac:dyDescent="0.25">
      <c r="A198" s="2">
        <v>45812</v>
      </c>
      <c r="B198" t="s">
        <v>18</v>
      </c>
      <c r="C198" t="s">
        <v>19</v>
      </c>
      <c r="D198" t="s">
        <v>20</v>
      </c>
      <c r="H198">
        <v>240000</v>
      </c>
      <c r="I198">
        <v>240000</v>
      </c>
      <c r="J198" t="s">
        <v>144</v>
      </c>
    </row>
    <row r="199" spans="1:10" hidden="1" x14ac:dyDescent="0.25">
      <c r="A199" s="2">
        <v>45820</v>
      </c>
      <c r="B199" t="s">
        <v>18</v>
      </c>
      <c r="C199" t="s">
        <v>19</v>
      </c>
      <c r="D199" t="s">
        <v>20</v>
      </c>
      <c r="H199">
        <v>240000</v>
      </c>
      <c r="I199">
        <v>240000</v>
      </c>
      <c r="J199" t="s">
        <v>144</v>
      </c>
    </row>
    <row r="200" spans="1:10" hidden="1" x14ac:dyDescent="0.25">
      <c r="A200" s="2">
        <v>45828</v>
      </c>
      <c r="B200" t="s">
        <v>18</v>
      </c>
      <c r="C200" t="s">
        <v>19</v>
      </c>
      <c r="D200" t="s">
        <v>20</v>
      </c>
      <c r="H200">
        <v>240000</v>
      </c>
      <c r="I200">
        <v>240000</v>
      </c>
      <c r="J200" t="s">
        <v>144</v>
      </c>
    </row>
    <row r="201" spans="1:10" hidden="1" x14ac:dyDescent="0.25">
      <c r="A201" s="2">
        <v>45836</v>
      </c>
      <c r="B201" t="s">
        <v>18</v>
      </c>
      <c r="C201" t="s">
        <v>19</v>
      </c>
      <c r="D201" t="s">
        <v>20</v>
      </c>
      <c r="H201">
        <v>240000</v>
      </c>
      <c r="I201">
        <v>240000</v>
      </c>
      <c r="J201" t="s">
        <v>144</v>
      </c>
    </row>
    <row r="202" spans="1:10" hidden="1" x14ac:dyDescent="0.25">
      <c r="A202" s="2">
        <v>45844</v>
      </c>
      <c r="B202" t="s">
        <v>18</v>
      </c>
      <c r="C202" t="s">
        <v>19</v>
      </c>
      <c r="D202" t="s">
        <v>20</v>
      </c>
      <c r="H202">
        <v>240000</v>
      </c>
      <c r="I202">
        <v>240000</v>
      </c>
      <c r="J202" t="s">
        <v>144</v>
      </c>
    </row>
    <row r="203" spans="1:10" hidden="1" x14ac:dyDescent="0.25">
      <c r="A203" s="2">
        <v>45852</v>
      </c>
      <c r="B203" t="s">
        <v>18</v>
      </c>
      <c r="C203" t="s">
        <v>19</v>
      </c>
      <c r="D203" t="s">
        <v>20</v>
      </c>
      <c r="H203">
        <v>240000</v>
      </c>
      <c r="I203">
        <v>240000</v>
      </c>
      <c r="J203" t="s">
        <v>144</v>
      </c>
    </row>
    <row r="204" spans="1:10" hidden="1" x14ac:dyDescent="0.25">
      <c r="A204" s="2">
        <v>45860</v>
      </c>
      <c r="B204" t="s">
        <v>18</v>
      </c>
      <c r="C204" t="s">
        <v>19</v>
      </c>
      <c r="D204" t="s">
        <v>20</v>
      </c>
      <c r="H204">
        <v>240000</v>
      </c>
      <c r="I204">
        <v>240000</v>
      </c>
      <c r="J204" t="s">
        <v>144</v>
      </c>
    </row>
    <row r="205" spans="1:10" hidden="1" x14ac:dyDescent="0.25">
      <c r="A205" s="2">
        <v>45868</v>
      </c>
      <c r="B205" t="s">
        <v>18</v>
      </c>
      <c r="C205" t="s">
        <v>19</v>
      </c>
      <c r="D205" t="s">
        <v>20</v>
      </c>
      <c r="H205">
        <v>240000</v>
      </c>
      <c r="I205">
        <v>240000</v>
      </c>
      <c r="J205" t="s">
        <v>144</v>
      </c>
    </row>
    <row r="206" spans="1:10" hidden="1" x14ac:dyDescent="0.25">
      <c r="A206" s="2">
        <v>45876</v>
      </c>
      <c r="B206" t="s">
        <v>18</v>
      </c>
      <c r="C206" t="s">
        <v>19</v>
      </c>
      <c r="D206" t="s">
        <v>20</v>
      </c>
      <c r="H206">
        <v>240000</v>
      </c>
      <c r="I206">
        <v>240000</v>
      </c>
      <c r="J206" t="s">
        <v>144</v>
      </c>
    </row>
    <row r="207" spans="1:10" hidden="1" x14ac:dyDescent="0.25">
      <c r="A207" s="2">
        <v>45884</v>
      </c>
      <c r="B207" t="s">
        <v>18</v>
      </c>
      <c r="C207" t="s">
        <v>19</v>
      </c>
      <c r="D207" t="s">
        <v>20</v>
      </c>
      <c r="H207">
        <v>240000</v>
      </c>
      <c r="I207">
        <v>240000</v>
      </c>
      <c r="J207" t="s">
        <v>144</v>
      </c>
    </row>
    <row r="208" spans="1:10" hidden="1" x14ac:dyDescent="0.25">
      <c r="A208" s="2">
        <v>45892</v>
      </c>
      <c r="B208" t="s">
        <v>18</v>
      </c>
      <c r="C208" t="s">
        <v>19</v>
      </c>
      <c r="D208" t="s">
        <v>20</v>
      </c>
      <c r="H208">
        <v>240000</v>
      </c>
      <c r="I208">
        <v>240000</v>
      </c>
      <c r="J208" t="s">
        <v>144</v>
      </c>
    </row>
    <row r="209" spans="1:10" hidden="1" x14ac:dyDescent="0.25">
      <c r="A209" s="2">
        <v>45900</v>
      </c>
      <c r="B209" t="s">
        <v>18</v>
      </c>
      <c r="C209" t="s">
        <v>19</v>
      </c>
      <c r="D209" t="s">
        <v>20</v>
      </c>
      <c r="H209">
        <v>240000</v>
      </c>
      <c r="I209">
        <v>240000</v>
      </c>
      <c r="J209" t="s">
        <v>144</v>
      </c>
    </row>
    <row r="210" spans="1:10" hidden="1" x14ac:dyDescent="0.25">
      <c r="A210" s="2">
        <v>45908</v>
      </c>
      <c r="B210" t="s">
        <v>18</v>
      </c>
      <c r="C210" t="s">
        <v>19</v>
      </c>
      <c r="D210" t="s">
        <v>20</v>
      </c>
      <c r="H210">
        <v>240000</v>
      </c>
      <c r="I210">
        <v>240000</v>
      </c>
      <c r="J210" t="s">
        <v>144</v>
      </c>
    </row>
    <row r="211" spans="1:10" hidden="1" x14ac:dyDescent="0.25">
      <c r="A211" s="2">
        <v>45916</v>
      </c>
      <c r="B211" t="s">
        <v>18</v>
      </c>
      <c r="C211" t="s">
        <v>19</v>
      </c>
      <c r="D211" t="s">
        <v>20</v>
      </c>
      <c r="H211">
        <v>240000</v>
      </c>
      <c r="I211">
        <v>240000</v>
      </c>
      <c r="J211" t="s">
        <v>144</v>
      </c>
    </row>
    <row r="212" spans="1:10" hidden="1" x14ac:dyDescent="0.25">
      <c r="A212" s="2">
        <v>45924</v>
      </c>
      <c r="B212" t="s">
        <v>18</v>
      </c>
      <c r="C212" t="s">
        <v>19</v>
      </c>
      <c r="D212" t="s">
        <v>20</v>
      </c>
      <c r="H212">
        <v>240000</v>
      </c>
      <c r="I212">
        <v>240000</v>
      </c>
      <c r="J212" t="s">
        <v>144</v>
      </c>
    </row>
    <row r="213" spans="1:10" hidden="1" x14ac:dyDescent="0.25">
      <c r="A213" s="2">
        <v>45931</v>
      </c>
      <c r="B213" t="s">
        <v>18</v>
      </c>
      <c r="C213" t="s">
        <v>19</v>
      </c>
      <c r="D213" t="s">
        <v>20</v>
      </c>
      <c r="H213">
        <v>240000</v>
      </c>
      <c r="I213">
        <v>240000</v>
      </c>
      <c r="J213" t="s">
        <v>144</v>
      </c>
    </row>
    <row r="214" spans="1:10" hidden="1" x14ac:dyDescent="0.25">
      <c r="A214" s="2">
        <v>45938</v>
      </c>
      <c r="B214" t="s">
        <v>18</v>
      </c>
      <c r="C214" t="s">
        <v>19</v>
      </c>
      <c r="D214" t="s">
        <v>20</v>
      </c>
      <c r="H214">
        <v>240000</v>
      </c>
      <c r="I214">
        <v>240000</v>
      </c>
      <c r="J214" t="s">
        <v>144</v>
      </c>
    </row>
    <row r="215" spans="1:10" hidden="1" x14ac:dyDescent="0.25">
      <c r="A215" s="2">
        <v>45946</v>
      </c>
      <c r="B215" t="s">
        <v>18</v>
      </c>
      <c r="C215" t="s">
        <v>19</v>
      </c>
      <c r="D215" t="s">
        <v>20</v>
      </c>
      <c r="H215">
        <v>240000</v>
      </c>
      <c r="I215">
        <v>240000</v>
      </c>
      <c r="J215" t="s">
        <v>144</v>
      </c>
    </row>
    <row r="216" spans="1:10" hidden="1" x14ac:dyDescent="0.25">
      <c r="A216" s="2">
        <v>45954</v>
      </c>
      <c r="B216" t="s">
        <v>18</v>
      </c>
      <c r="C216" t="s">
        <v>19</v>
      </c>
      <c r="D216" t="s">
        <v>20</v>
      </c>
      <c r="H216">
        <v>240000</v>
      </c>
      <c r="I216">
        <v>240000</v>
      </c>
      <c r="J216" t="s">
        <v>144</v>
      </c>
    </row>
    <row r="217" spans="1:10" hidden="1" x14ac:dyDescent="0.25">
      <c r="A217" s="2">
        <v>45962</v>
      </c>
      <c r="B217" t="s">
        <v>18</v>
      </c>
      <c r="C217" t="s">
        <v>19</v>
      </c>
      <c r="D217" t="s">
        <v>20</v>
      </c>
      <c r="H217">
        <v>240000</v>
      </c>
      <c r="I217">
        <v>240000</v>
      </c>
      <c r="J217" t="s">
        <v>144</v>
      </c>
    </row>
    <row r="218" spans="1:10" hidden="1" x14ac:dyDescent="0.25">
      <c r="A218" s="2">
        <v>45970</v>
      </c>
      <c r="B218" t="s">
        <v>18</v>
      </c>
      <c r="C218" t="s">
        <v>19</v>
      </c>
      <c r="D218" t="s">
        <v>20</v>
      </c>
      <c r="H218">
        <v>240000</v>
      </c>
      <c r="I218">
        <v>240000</v>
      </c>
      <c r="J218" t="s">
        <v>144</v>
      </c>
    </row>
    <row r="219" spans="1:10" hidden="1" x14ac:dyDescent="0.25">
      <c r="A219" s="2">
        <v>45978</v>
      </c>
      <c r="B219" t="s">
        <v>18</v>
      </c>
      <c r="C219" t="s">
        <v>19</v>
      </c>
      <c r="D219" t="s">
        <v>20</v>
      </c>
      <c r="H219">
        <v>240000</v>
      </c>
      <c r="I219">
        <v>240000</v>
      </c>
      <c r="J219" t="s">
        <v>144</v>
      </c>
    </row>
    <row r="220" spans="1:10" hidden="1" x14ac:dyDescent="0.25">
      <c r="A220" s="2">
        <v>45986</v>
      </c>
      <c r="B220" t="s">
        <v>18</v>
      </c>
      <c r="C220" t="s">
        <v>19</v>
      </c>
      <c r="D220" t="s">
        <v>20</v>
      </c>
      <c r="H220">
        <v>240000</v>
      </c>
      <c r="I220">
        <v>240000</v>
      </c>
      <c r="J220" t="s">
        <v>144</v>
      </c>
    </row>
    <row r="221" spans="1:10" hidden="1" x14ac:dyDescent="0.25">
      <c r="A221" s="2">
        <v>45994</v>
      </c>
      <c r="B221" t="s">
        <v>18</v>
      </c>
      <c r="C221" t="s">
        <v>19</v>
      </c>
      <c r="D221" t="s">
        <v>20</v>
      </c>
      <c r="H221">
        <v>240000</v>
      </c>
      <c r="I221">
        <v>240000</v>
      </c>
      <c r="J221" t="s">
        <v>144</v>
      </c>
    </row>
    <row r="222" spans="1:10" hidden="1" x14ac:dyDescent="0.25">
      <c r="A222" s="2">
        <v>46002</v>
      </c>
      <c r="B222" t="s">
        <v>18</v>
      </c>
      <c r="C222" t="s">
        <v>19</v>
      </c>
      <c r="D222" t="s">
        <v>20</v>
      </c>
      <c r="H222">
        <v>240000</v>
      </c>
      <c r="I222">
        <v>240000</v>
      </c>
      <c r="J222" t="s">
        <v>144</v>
      </c>
    </row>
    <row r="223" spans="1:10" hidden="1" x14ac:dyDescent="0.25">
      <c r="A223" s="2">
        <v>46009</v>
      </c>
      <c r="B223" t="s">
        <v>18</v>
      </c>
      <c r="C223" t="s">
        <v>19</v>
      </c>
      <c r="D223" t="s">
        <v>20</v>
      </c>
      <c r="H223">
        <v>240000</v>
      </c>
      <c r="I223">
        <v>240000</v>
      </c>
      <c r="J223" t="s">
        <v>144</v>
      </c>
    </row>
    <row r="224" spans="1:10" hidden="1" x14ac:dyDescent="0.25">
      <c r="A224" s="2">
        <v>46018</v>
      </c>
      <c r="B224" t="s">
        <v>18</v>
      </c>
      <c r="C224" t="s">
        <v>19</v>
      </c>
      <c r="D224" t="s">
        <v>20</v>
      </c>
      <c r="H224">
        <v>240000</v>
      </c>
      <c r="I224">
        <v>240000</v>
      </c>
      <c r="J224" t="s">
        <v>144</v>
      </c>
    </row>
    <row r="225" spans="1:10" hidden="1" x14ac:dyDescent="0.25">
      <c r="A225" s="2">
        <v>46031</v>
      </c>
      <c r="B225" t="s">
        <v>18</v>
      </c>
      <c r="C225" t="s">
        <v>19</v>
      </c>
      <c r="D225" t="s">
        <v>20</v>
      </c>
      <c r="H225">
        <v>240000</v>
      </c>
      <c r="I225">
        <v>240000</v>
      </c>
      <c r="J225" t="s">
        <v>144</v>
      </c>
    </row>
    <row r="226" spans="1:10" hidden="1" x14ac:dyDescent="0.25">
      <c r="A226" s="2">
        <v>46039</v>
      </c>
      <c r="B226" t="s">
        <v>18</v>
      </c>
      <c r="C226" t="s">
        <v>19</v>
      </c>
      <c r="D226" t="s">
        <v>20</v>
      </c>
      <c r="H226">
        <v>240000</v>
      </c>
      <c r="I226">
        <v>240000</v>
      </c>
      <c r="J226" t="s">
        <v>144</v>
      </c>
    </row>
    <row r="227" spans="1:10" hidden="1" x14ac:dyDescent="0.25">
      <c r="A227" s="2">
        <v>46047</v>
      </c>
      <c r="B227" t="s">
        <v>18</v>
      </c>
      <c r="C227" t="s">
        <v>19</v>
      </c>
      <c r="D227" t="s">
        <v>20</v>
      </c>
      <c r="H227">
        <v>240000</v>
      </c>
      <c r="I227">
        <v>240000</v>
      </c>
      <c r="J227" t="s">
        <v>144</v>
      </c>
    </row>
    <row r="228" spans="1:10" hidden="1" x14ac:dyDescent="0.25">
      <c r="A228" s="2">
        <v>46055</v>
      </c>
      <c r="B228" t="s">
        <v>18</v>
      </c>
      <c r="C228" t="s">
        <v>19</v>
      </c>
      <c r="D228" t="s">
        <v>20</v>
      </c>
      <c r="H228">
        <v>240000</v>
      </c>
      <c r="I228">
        <v>240000</v>
      </c>
      <c r="J228" t="s">
        <v>144</v>
      </c>
    </row>
    <row r="229" spans="1:10" hidden="1" x14ac:dyDescent="0.25">
      <c r="A229" s="2">
        <v>46063</v>
      </c>
      <c r="B229" t="s">
        <v>18</v>
      </c>
      <c r="C229" t="s">
        <v>19</v>
      </c>
      <c r="D229" t="s">
        <v>20</v>
      </c>
      <c r="H229">
        <v>240000</v>
      </c>
      <c r="I229">
        <v>240000</v>
      </c>
      <c r="J229" t="s">
        <v>144</v>
      </c>
    </row>
    <row r="230" spans="1:10" hidden="1" x14ac:dyDescent="0.25">
      <c r="A230" s="2">
        <v>46071</v>
      </c>
      <c r="B230" t="s">
        <v>18</v>
      </c>
      <c r="C230" t="s">
        <v>19</v>
      </c>
      <c r="D230" t="s">
        <v>20</v>
      </c>
      <c r="H230">
        <v>240000</v>
      </c>
      <c r="I230">
        <v>240000</v>
      </c>
      <c r="J230" t="s">
        <v>144</v>
      </c>
    </row>
    <row r="231" spans="1:10" hidden="1" x14ac:dyDescent="0.25">
      <c r="A231" s="2">
        <v>46078</v>
      </c>
      <c r="B231" t="s">
        <v>18</v>
      </c>
      <c r="C231" t="s">
        <v>19</v>
      </c>
      <c r="D231" t="s">
        <v>20</v>
      </c>
      <c r="H231">
        <v>240000</v>
      </c>
      <c r="I231">
        <v>240000</v>
      </c>
      <c r="J231" t="s">
        <v>144</v>
      </c>
    </row>
    <row r="232" spans="1:10" hidden="1" x14ac:dyDescent="0.25">
      <c r="A232" s="2">
        <v>46086</v>
      </c>
      <c r="B232" t="s">
        <v>18</v>
      </c>
      <c r="C232" t="s">
        <v>19</v>
      </c>
      <c r="D232" t="s">
        <v>20</v>
      </c>
      <c r="H232">
        <v>240000</v>
      </c>
      <c r="I232">
        <v>240000</v>
      </c>
      <c r="J232" t="s">
        <v>144</v>
      </c>
    </row>
    <row r="233" spans="1:10" hidden="1" x14ac:dyDescent="0.25">
      <c r="A233" s="2">
        <v>46094</v>
      </c>
      <c r="B233" t="s">
        <v>18</v>
      </c>
      <c r="C233" t="s">
        <v>19</v>
      </c>
      <c r="D233" t="s">
        <v>20</v>
      </c>
      <c r="H233">
        <v>240000</v>
      </c>
      <c r="I233">
        <v>240000</v>
      </c>
      <c r="J233" t="s">
        <v>144</v>
      </c>
    </row>
    <row r="234" spans="1:10" hidden="1" x14ac:dyDescent="0.25">
      <c r="A234" s="2">
        <v>46102</v>
      </c>
      <c r="B234" t="s">
        <v>18</v>
      </c>
      <c r="C234" t="s">
        <v>19</v>
      </c>
      <c r="D234" t="s">
        <v>20</v>
      </c>
      <c r="H234">
        <v>240000</v>
      </c>
      <c r="I234">
        <v>240000</v>
      </c>
      <c r="J234" t="s">
        <v>144</v>
      </c>
    </row>
    <row r="235" spans="1:10" hidden="1" x14ac:dyDescent="0.25">
      <c r="A235" s="2">
        <v>46110</v>
      </c>
      <c r="B235" t="s">
        <v>18</v>
      </c>
      <c r="C235" t="s">
        <v>19</v>
      </c>
      <c r="D235" t="s">
        <v>20</v>
      </c>
      <c r="H235">
        <v>240000</v>
      </c>
      <c r="I235">
        <v>240000</v>
      </c>
      <c r="J235" t="s">
        <v>144</v>
      </c>
    </row>
    <row r="236" spans="1:10" hidden="1" x14ac:dyDescent="0.25">
      <c r="A236" s="2">
        <v>46118</v>
      </c>
      <c r="B236" t="s">
        <v>18</v>
      </c>
      <c r="C236" t="s">
        <v>19</v>
      </c>
      <c r="D236" t="s">
        <v>20</v>
      </c>
      <c r="H236">
        <v>240000</v>
      </c>
      <c r="I236">
        <v>240000</v>
      </c>
      <c r="J236" t="s">
        <v>144</v>
      </c>
    </row>
    <row r="237" spans="1:10" hidden="1" x14ac:dyDescent="0.25">
      <c r="A237" s="2">
        <v>46120</v>
      </c>
      <c r="B237" t="s">
        <v>18</v>
      </c>
      <c r="C237" t="s">
        <v>19</v>
      </c>
      <c r="D237" t="s">
        <v>20</v>
      </c>
      <c r="H237">
        <v>240000</v>
      </c>
      <c r="I237">
        <v>240000</v>
      </c>
      <c r="J237" t="s">
        <v>144</v>
      </c>
    </row>
    <row r="238" spans="1:10" hidden="1" x14ac:dyDescent="0.25">
      <c r="A238" s="2">
        <v>46130</v>
      </c>
      <c r="B238" t="s">
        <v>18</v>
      </c>
      <c r="C238" t="s">
        <v>19</v>
      </c>
      <c r="D238" t="s">
        <v>20</v>
      </c>
      <c r="H238">
        <v>240000</v>
      </c>
      <c r="I238">
        <v>240000</v>
      </c>
      <c r="J238" t="s">
        <v>144</v>
      </c>
    </row>
    <row r="239" spans="1:10" hidden="1" x14ac:dyDescent="0.25">
      <c r="A239" s="2">
        <v>46136</v>
      </c>
      <c r="B239" t="s">
        <v>18</v>
      </c>
      <c r="C239" t="s">
        <v>19</v>
      </c>
      <c r="D239" t="s">
        <v>20</v>
      </c>
      <c r="H239">
        <v>240000</v>
      </c>
      <c r="I239">
        <v>240000</v>
      </c>
      <c r="J239" t="s">
        <v>144</v>
      </c>
    </row>
    <row r="240" spans="1:10" hidden="1" x14ac:dyDescent="0.25">
      <c r="A240" s="2">
        <v>46149</v>
      </c>
      <c r="B240" t="s">
        <v>18</v>
      </c>
      <c r="C240" t="s">
        <v>19</v>
      </c>
      <c r="D240" t="s">
        <v>20</v>
      </c>
      <c r="H240">
        <v>240000</v>
      </c>
      <c r="I240">
        <v>240000</v>
      </c>
      <c r="J240" t="s">
        <v>144</v>
      </c>
    </row>
    <row r="241" spans="1:10" hidden="1" x14ac:dyDescent="0.25">
      <c r="A241" s="2">
        <v>46154</v>
      </c>
      <c r="B241" t="s">
        <v>18</v>
      </c>
      <c r="C241" t="s">
        <v>19</v>
      </c>
      <c r="D241" t="s">
        <v>20</v>
      </c>
      <c r="H241">
        <v>240000</v>
      </c>
      <c r="I241">
        <v>240000</v>
      </c>
      <c r="J241" t="s">
        <v>144</v>
      </c>
    </row>
    <row r="242" spans="1:10" hidden="1" x14ac:dyDescent="0.25">
      <c r="A242" s="2">
        <v>46162</v>
      </c>
      <c r="B242" t="s">
        <v>18</v>
      </c>
      <c r="C242" t="s">
        <v>19</v>
      </c>
      <c r="D242" t="s">
        <v>20</v>
      </c>
      <c r="H242">
        <v>240000</v>
      </c>
      <c r="I242">
        <v>240000</v>
      </c>
      <c r="J242" t="s">
        <v>144</v>
      </c>
    </row>
    <row r="243" spans="1:10" hidden="1" x14ac:dyDescent="0.25">
      <c r="A243" s="2">
        <v>46176</v>
      </c>
      <c r="B243" t="s">
        <v>18</v>
      </c>
      <c r="C243" t="s">
        <v>19</v>
      </c>
      <c r="D243" t="s">
        <v>20</v>
      </c>
      <c r="H243">
        <v>240000</v>
      </c>
      <c r="I243">
        <v>240000</v>
      </c>
      <c r="J243" t="s">
        <v>144</v>
      </c>
    </row>
    <row r="244" spans="1:10" hidden="1" x14ac:dyDescent="0.25">
      <c r="A244" s="2">
        <v>46014</v>
      </c>
      <c r="B244" t="s">
        <v>22</v>
      </c>
      <c r="C244" t="s">
        <v>23</v>
      </c>
      <c r="D244" t="s">
        <v>24</v>
      </c>
      <c r="H244">
        <v>240000</v>
      </c>
      <c r="I244">
        <v>240000</v>
      </c>
      <c r="J244" t="s">
        <v>144</v>
      </c>
    </row>
    <row r="245" spans="1:10" hidden="1" x14ac:dyDescent="0.25">
      <c r="A245" s="2">
        <v>46026</v>
      </c>
      <c r="B245" t="s">
        <v>22</v>
      </c>
      <c r="C245" t="s">
        <v>23</v>
      </c>
      <c r="D245" t="s">
        <v>24</v>
      </c>
      <c r="H245">
        <v>240000</v>
      </c>
      <c r="I245">
        <v>240000</v>
      </c>
      <c r="J245" t="s">
        <v>144</v>
      </c>
    </row>
    <row r="246" spans="1:10" hidden="1" x14ac:dyDescent="0.25">
      <c r="A246" s="2">
        <v>46030</v>
      </c>
      <c r="B246" t="s">
        <v>22</v>
      </c>
      <c r="C246" t="s">
        <v>23</v>
      </c>
      <c r="D246" t="s">
        <v>24</v>
      </c>
      <c r="H246">
        <v>240000</v>
      </c>
      <c r="I246">
        <v>240000</v>
      </c>
      <c r="J246" t="s">
        <v>144</v>
      </c>
    </row>
    <row r="247" spans="1:10" hidden="1" x14ac:dyDescent="0.25">
      <c r="A247" s="2">
        <v>46037</v>
      </c>
      <c r="B247" t="s">
        <v>22</v>
      </c>
      <c r="C247" t="s">
        <v>23</v>
      </c>
      <c r="D247" t="s">
        <v>24</v>
      </c>
      <c r="H247">
        <v>240000</v>
      </c>
      <c r="I247">
        <v>240000</v>
      </c>
      <c r="J247" t="s">
        <v>144</v>
      </c>
    </row>
    <row r="248" spans="1:10" hidden="1" x14ac:dyDescent="0.25">
      <c r="A248" s="2">
        <v>46044</v>
      </c>
      <c r="B248" t="s">
        <v>22</v>
      </c>
      <c r="C248" t="s">
        <v>23</v>
      </c>
      <c r="D248" t="s">
        <v>24</v>
      </c>
      <c r="H248">
        <v>240000</v>
      </c>
      <c r="I248">
        <v>240000</v>
      </c>
      <c r="J248" t="s">
        <v>144</v>
      </c>
    </row>
    <row r="249" spans="1:10" hidden="1" x14ac:dyDescent="0.25">
      <c r="A249" s="2">
        <v>46051</v>
      </c>
      <c r="B249" t="s">
        <v>22</v>
      </c>
      <c r="C249" t="s">
        <v>23</v>
      </c>
      <c r="D249" t="s">
        <v>24</v>
      </c>
      <c r="H249">
        <v>240000</v>
      </c>
      <c r="I249">
        <v>240000</v>
      </c>
      <c r="J249" t="s">
        <v>144</v>
      </c>
    </row>
    <row r="250" spans="1:10" hidden="1" x14ac:dyDescent="0.25">
      <c r="A250" s="2">
        <v>46058</v>
      </c>
      <c r="B250" t="s">
        <v>22</v>
      </c>
      <c r="C250" t="s">
        <v>23</v>
      </c>
      <c r="D250" t="s">
        <v>24</v>
      </c>
      <c r="H250">
        <v>240000</v>
      </c>
      <c r="I250">
        <v>240000</v>
      </c>
      <c r="J250" t="s">
        <v>144</v>
      </c>
    </row>
    <row r="251" spans="1:10" hidden="1" x14ac:dyDescent="0.25">
      <c r="A251" s="2">
        <v>46065</v>
      </c>
      <c r="B251" t="s">
        <v>22</v>
      </c>
      <c r="C251" t="s">
        <v>23</v>
      </c>
      <c r="D251" t="s">
        <v>24</v>
      </c>
      <c r="H251">
        <v>240000</v>
      </c>
      <c r="I251">
        <v>240000</v>
      </c>
      <c r="J251" t="s">
        <v>144</v>
      </c>
    </row>
    <row r="252" spans="1:10" hidden="1" x14ac:dyDescent="0.25">
      <c r="A252" s="2">
        <v>46080</v>
      </c>
      <c r="B252" t="s">
        <v>22</v>
      </c>
      <c r="C252" t="s">
        <v>23</v>
      </c>
      <c r="D252" t="s">
        <v>24</v>
      </c>
      <c r="H252">
        <v>240000</v>
      </c>
      <c r="I252">
        <v>240000</v>
      </c>
      <c r="J252" t="s">
        <v>144</v>
      </c>
    </row>
    <row r="253" spans="1:10" hidden="1" x14ac:dyDescent="0.25">
      <c r="A253" s="2">
        <v>46086</v>
      </c>
      <c r="B253" t="s">
        <v>22</v>
      </c>
      <c r="C253" t="s">
        <v>23</v>
      </c>
      <c r="D253" t="s">
        <v>24</v>
      </c>
      <c r="H253">
        <v>240000</v>
      </c>
      <c r="I253">
        <v>240000</v>
      </c>
      <c r="J253" t="s">
        <v>144</v>
      </c>
    </row>
    <row r="254" spans="1:10" hidden="1" x14ac:dyDescent="0.25">
      <c r="A254" s="2">
        <v>46093</v>
      </c>
      <c r="B254" t="s">
        <v>22</v>
      </c>
      <c r="C254" t="s">
        <v>23</v>
      </c>
      <c r="D254" t="s">
        <v>24</v>
      </c>
      <c r="H254">
        <v>240000</v>
      </c>
      <c r="I254">
        <v>240000</v>
      </c>
      <c r="J254" t="s">
        <v>144</v>
      </c>
    </row>
    <row r="255" spans="1:10" hidden="1" x14ac:dyDescent="0.25">
      <c r="A255" s="2">
        <v>46100</v>
      </c>
      <c r="B255" t="s">
        <v>22</v>
      </c>
      <c r="C255" t="s">
        <v>23</v>
      </c>
      <c r="D255" t="s">
        <v>24</v>
      </c>
      <c r="H255">
        <v>240000</v>
      </c>
      <c r="I255">
        <v>240000</v>
      </c>
      <c r="J255" t="s">
        <v>144</v>
      </c>
    </row>
    <row r="256" spans="1:10" hidden="1" x14ac:dyDescent="0.25">
      <c r="A256" s="2">
        <v>46107</v>
      </c>
      <c r="B256" t="s">
        <v>22</v>
      </c>
      <c r="C256" t="s">
        <v>23</v>
      </c>
      <c r="D256" t="s">
        <v>24</v>
      </c>
      <c r="H256">
        <v>240000</v>
      </c>
      <c r="I256">
        <v>240000</v>
      </c>
      <c r="J256" t="s">
        <v>144</v>
      </c>
    </row>
    <row r="257" spans="1:10" hidden="1" x14ac:dyDescent="0.25">
      <c r="A257" s="2">
        <v>46122</v>
      </c>
      <c r="B257" t="s">
        <v>22</v>
      </c>
      <c r="C257" t="s">
        <v>23</v>
      </c>
      <c r="D257" t="s">
        <v>24</v>
      </c>
      <c r="H257">
        <v>240000</v>
      </c>
      <c r="I257">
        <v>240000</v>
      </c>
      <c r="J257" t="s">
        <v>144</v>
      </c>
    </row>
    <row r="258" spans="1:10" hidden="1" x14ac:dyDescent="0.25">
      <c r="A258" s="2">
        <v>46127</v>
      </c>
      <c r="B258" t="s">
        <v>22</v>
      </c>
      <c r="C258" t="s">
        <v>23</v>
      </c>
      <c r="D258" t="s">
        <v>24</v>
      </c>
      <c r="H258">
        <v>240000</v>
      </c>
      <c r="I258">
        <v>240000</v>
      </c>
      <c r="J258" t="s">
        <v>144</v>
      </c>
    </row>
    <row r="259" spans="1:10" hidden="1" x14ac:dyDescent="0.25">
      <c r="A259" s="2">
        <v>46130</v>
      </c>
      <c r="B259" t="s">
        <v>22</v>
      </c>
      <c r="C259" t="s">
        <v>23</v>
      </c>
      <c r="D259" t="s">
        <v>24</v>
      </c>
      <c r="H259">
        <v>240000</v>
      </c>
      <c r="I259">
        <v>240000</v>
      </c>
      <c r="J259" t="s">
        <v>144</v>
      </c>
    </row>
    <row r="260" spans="1:10" hidden="1" x14ac:dyDescent="0.25">
      <c r="A260" s="2">
        <v>46137</v>
      </c>
      <c r="B260" t="s">
        <v>22</v>
      </c>
      <c r="C260" t="s">
        <v>23</v>
      </c>
      <c r="D260" t="s">
        <v>24</v>
      </c>
      <c r="H260">
        <v>240000</v>
      </c>
      <c r="I260">
        <v>240000</v>
      </c>
      <c r="J260" t="s">
        <v>144</v>
      </c>
    </row>
    <row r="261" spans="1:10" hidden="1" x14ac:dyDescent="0.25">
      <c r="A261" s="2">
        <v>46150</v>
      </c>
      <c r="B261" t="s">
        <v>22</v>
      </c>
      <c r="C261" t="s">
        <v>23</v>
      </c>
      <c r="D261" t="s">
        <v>24</v>
      </c>
      <c r="H261">
        <v>240000</v>
      </c>
      <c r="I261">
        <v>240000</v>
      </c>
      <c r="J261" t="s">
        <v>144</v>
      </c>
    </row>
    <row r="262" spans="1:10" hidden="1" x14ac:dyDescent="0.25">
      <c r="A262" s="2">
        <v>46156</v>
      </c>
      <c r="B262" t="s">
        <v>22</v>
      </c>
      <c r="C262" t="s">
        <v>23</v>
      </c>
      <c r="D262" t="s">
        <v>24</v>
      </c>
      <c r="H262">
        <v>240000</v>
      </c>
      <c r="I262">
        <v>240000</v>
      </c>
      <c r="J262" t="s">
        <v>144</v>
      </c>
    </row>
    <row r="263" spans="1:10" hidden="1" x14ac:dyDescent="0.25">
      <c r="A263" s="2">
        <v>46163</v>
      </c>
      <c r="B263" t="s">
        <v>22</v>
      </c>
      <c r="C263" t="s">
        <v>23</v>
      </c>
      <c r="D263" t="s">
        <v>24</v>
      </c>
      <c r="H263">
        <v>240000</v>
      </c>
      <c r="I263">
        <v>240000</v>
      </c>
      <c r="J263" t="s">
        <v>144</v>
      </c>
    </row>
    <row r="264" spans="1:10" hidden="1" x14ac:dyDescent="0.25">
      <c r="A264" s="2">
        <v>46173</v>
      </c>
      <c r="B264" t="s">
        <v>22</v>
      </c>
      <c r="C264" t="s">
        <v>23</v>
      </c>
      <c r="D264" t="s">
        <v>24</v>
      </c>
      <c r="H264">
        <v>240000</v>
      </c>
      <c r="I264">
        <v>240000</v>
      </c>
      <c r="J264" t="s">
        <v>144</v>
      </c>
    </row>
    <row r="265" spans="1:10" hidden="1" x14ac:dyDescent="0.25">
      <c r="A265" s="2">
        <v>46179</v>
      </c>
      <c r="B265" t="s">
        <v>22</v>
      </c>
      <c r="C265" t="s">
        <v>23</v>
      </c>
      <c r="D265" t="s">
        <v>24</v>
      </c>
      <c r="H265">
        <v>240000</v>
      </c>
      <c r="I265">
        <v>240000</v>
      </c>
      <c r="J265" t="s">
        <v>144</v>
      </c>
    </row>
    <row r="266" spans="1:10" hidden="1" x14ac:dyDescent="0.25">
      <c r="A266" s="2">
        <v>46189</v>
      </c>
      <c r="B266" t="s">
        <v>22</v>
      </c>
      <c r="C266" t="s">
        <v>23</v>
      </c>
      <c r="D266" t="s">
        <v>24</v>
      </c>
      <c r="H266">
        <v>240000</v>
      </c>
      <c r="I266">
        <v>240000</v>
      </c>
      <c r="J266" t="s">
        <v>144</v>
      </c>
    </row>
    <row r="267" spans="1:10" hidden="1" x14ac:dyDescent="0.25">
      <c r="A267" s="2">
        <v>46196</v>
      </c>
      <c r="B267" t="s">
        <v>22</v>
      </c>
      <c r="C267" t="s">
        <v>23</v>
      </c>
      <c r="D267" t="s">
        <v>24</v>
      </c>
      <c r="H267">
        <v>240000</v>
      </c>
      <c r="I267">
        <v>240000</v>
      </c>
      <c r="J267" t="s">
        <v>144</v>
      </c>
    </row>
    <row r="268" spans="1:10" hidden="1" x14ac:dyDescent="0.25">
      <c r="A268" s="2">
        <v>45705</v>
      </c>
      <c r="B268" t="s">
        <v>26</v>
      </c>
      <c r="C268" t="s">
        <v>27</v>
      </c>
      <c r="D268" t="s">
        <v>28</v>
      </c>
      <c r="H268">
        <v>240000</v>
      </c>
      <c r="I268">
        <v>240000</v>
      </c>
      <c r="J268" t="s">
        <v>144</v>
      </c>
    </row>
    <row r="269" spans="1:10" hidden="1" x14ac:dyDescent="0.25">
      <c r="A269" s="2">
        <v>45714</v>
      </c>
      <c r="B269" t="s">
        <v>26</v>
      </c>
      <c r="C269" t="s">
        <v>27</v>
      </c>
      <c r="D269" t="s">
        <v>28</v>
      </c>
      <c r="H269">
        <v>240000</v>
      </c>
      <c r="I269">
        <v>240000</v>
      </c>
      <c r="J269" t="s">
        <v>144</v>
      </c>
    </row>
    <row r="270" spans="1:10" hidden="1" x14ac:dyDescent="0.25">
      <c r="A270" s="2">
        <v>45728</v>
      </c>
      <c r="B270" t="s">
        <v>26</v>
      </c>
      <c r="C270" t="s">
        <v>27</v>
      </c>
      <c r="D270" t="s">
        <v>28</v>
      </c>
      <c r="H270">
        <v>240000</v>
      </c>
      <c r="I270">
        <v>240000</v>
      </c>
      <c r="J270" t="s">
        <v>144</v>
      </c>
    </row>
    <row r="271" spans="1:10" hidden="1" x14ac:dyDescent="0.25">
      <c r="A271" s="2">
        <v>45735</v>
      </c>
      <c r="B271" t="s">
        <v>26</v>
      </c>
      <c r="C271" t="s">
        <v>27</v>
      </c>
      <c r="D271" t="s">
        <v>28</v>
      </c>
      <c r="H271">
        <v>240000</v>
      </c>
      <c r="I271">
        <v>240000</v>
      </c>
      <c r="J271" t="s">
        <v>144</v>
      </c>
    </row>
    <row r="272" spans="1:10" hidden="1" x14ac:dyDescent="0.25">
      <c r="A272" s="2">
        <v>45742</v>
      </c>
      <c r="B272" t="s">
        <v>26</v>
      </c>
      <c r="C272" t="s">
        <v>27</v>
      </c>
      <c r="D272" t="s">
        <v>28</v>
      </c>
      <c r="H272">
        <v>240000</v>
      </c>
      <c r="I272">
        <v>240000</v>
      </c>
      <c r="J272" t="s">
        <v>144</v>
      </c>
    </row>
    <row r="273" spans="1:10" hidden="1" x14ac:dyDescent="0.25">
      <c r="A273" s="2">
        <v>45755</v>
      </c>
      <c r="B273" t="s">
        <v>26</v>
      </c>
      <c r="C273" t="s">
        <v>27</v>
      </c>
      <c r="D273" t="s">
        <v>28</v>
      </c>
      <c r="H273">
        <v>240000</v>
      </c>
      <c r="I273">
        <v>240000</v>
      </c>
      <c r="J273" t="s">
        <v>144</v>
      </c>
    </row>
    <row r="274" spans="1:10" hidden="1" x14ac:dyDescent="0.25">
      <c r="A274" s="2">
        <v>45756</v>
      </c>
      <c r="B274" t="s">
        <v>26</v>
      </c>
      <c r="C274" t="s">
        <v>27</v>
      </c>
      <c r="D274" t="s">
        <v>28</v>
      </c>
      <c r="H274">
        <v>240000</v>
      </c>
      <c r="I274">
        <v>240000</v>
      </c>
      <c r="J274" t="s">
        <v>144</v>
      </c>
    </row>
    <row r="275" spans="1:10" hidden="1" x14ac:dyDescent="0.25">
      <c r="A275" s="2">
        <v>45763</v>
      </c>
      <c r="B275" t="s">
        <v>26</v>
      </c>
      <c r="C275" t="s">
        <v>27</v>
      </c>
      <c r="D275" t="s">
        <v>28</v>
      </c>
      <c r="H275">
        <v>240000</v>
      </c>
      <c r="I275">
        <v>240000</v>
      </c>
      <c r="J275" t="s">
        <v>144</v>
      </c>
    </row>
    <row r="276" spans="1:10" hidden="1" x14ac:dyDescent="0.25">
      <c r="A276" s="2">
        <v>45770</v>
      </c>
      <c r="B276" t="s">
        <v>26</v>
      </c>
      <c r="C276" t="s">
        <v>27</v>
      </c>
      <c r="D276" t="s">
        <v>28</v>
      </c>
      <c r="H276">
        <v>240000</v>
      </c>
      <c r="I276">
        <v>240000</v>
      </c>
      <c r="J276" t="s">
        <v>144</v>
      </c>
    </row>
    <row r="277" spans="1:10" hidden="1" x14ac:dyDescent="0.25">
      <c r="A277" s="2">
        <v>45778</v>
      </c>
      <c r="B277" t="s">
        <v>26</v>
      </c>
      <c r="C277" t="s">
        <v>27</v>
      </c>
      <c r="D277" t="s">
        <v>28</v>
      </c>
      <c r="H277">
        <v>240000</v>
      </c>
      <c r="I277">
        <v>240000</v>
      </c>
      <c r="J277" t="s">
        <v>144</v>
      </c>
    </row>
    <row r="278" spans="1:10" hidden="1" x14ac:dyDescent="0.25">
      <c r="A278" s="2">
        <v>45784</v>
      </c>
      <c r="B278" t="s">
        <v>26</v>
      </c>
      <c r="C278" t="s">
        <v>27</v>
      </c>
      <c r="D278" t="s">
        <v>28</v>
      </c>
      <c r="H278">
        <v>240000</v>
      </c>
      <c r="I278">
        <v>240000</v>
      </c>
      <c r="J278" t="s">
        <v>144</v>
      </c>
    </row>
    <row r="279" spans="1:10" hidden="1" x14ac:dyDescent="0.25">
      <c r="A279" s="2">
        <v>45792</v>
      </c>
      <c r="B279" t="s">
        <v>26</v>
      </c>
      <c r="C279" t="s">
        <v>27</v>
      </c>
      <c r="D279" t="s">
        <v>28</v>
      </c>
      <c r="H279">
        <v>240000</v>
      </c>
      <c r="I279">
        <v>240000</v>
      </c>
      <c r="J279" t="s">
        <v>144</v>
      </c>
    </row>
    <row r="280" spans="1:10" hidden="1" x14ac:dyDescent="0.25">
      <c r="A280" s="2">
        <v>45798</v>
      </c>
      <c r="B280" t="s">
        <v>26</v>
      </c>
      <c r="C280" t="s">
        <v>27</v>
      </c>
      <c r="D280" t="s">
        <v>28</v>
      </c>
      <c r="H280">
        <v>240000</v>
      </c>
      <c r="I280">
        <v>240000</v>
      </c>
      <c r="J280" t="s">
        <v>144</v>
      </c>
    </row>
    <row r="281" spans="1:10" hidden="1" x14ac:dyDescent="0.25">
      <c r="A281" s="2">
        <v>45805</v>
      </c>
      <c r="B281" t="s">
        <v>26</v>
      </c>
      <c r="C281" t="s">
        <v>27</v>
      </c>
      <c r="D281" t="s">
        <v>28</v>
      </c>
      <c r="H281">
        <v>240000</v>
      </c>
      <c r="I281">
        <v>240000</v>
      </c>
      <c r="J281" t="s">
        <v>144</v>
      </c>
    </row>
    <row r="282" spans="1:10" hidden="1" x14ac:dyDescent="0.25">
      <c r="A282" s="2">
        <v>45812</v>
      </c>
      <c r="B282" t="s">
        <v>26</v>
      </c>
      <c r="C282" t="s">
        <v>27</v>
      </c>
      <c r="D282" t="s">
        <v>28</v>
      </c>
      <c r="H282">
        <v>240000</v>
      </c>
      <c r="I282">
        <v>240000</v>
      </c>
      <c r="J282" t="s">
        <v>144</v>
      </c>
    </row>
    <row r="283" spans="1:10" hidden="1" x14ac:dyDescent="0.25">
      <c r="A283" s="2">
        <v>45818</v>
      </c>
      <c r="B283" t="s">
        <v>26</v>
      </c>
      <c r="C283" t="s">
        <v>27</v>
      </c>
      <c r="D283" t="s">
        <v>28</v>
      </c>
      <c r="H283">
        <v>240000</v>
      </c>
      <c r="I283">
        <v>240000</v>
      </c>
      <c r="J283" t="s">
        <v>144</v>
      </c>
    </row>
    <row r="284" spans="1:10" hidden="1" x14ac:dyDescent="0.25">
      <c r="A284" s="2">
        <v>45827</v>
      </c>
      <c r="B284" t="s">
        <v>26</v>
      </c>
      <c r="C284" t="s">
        <v>27</v>
      </c>
      <c r="D284" t="s">
        <v>28</v>
      </c>
      <c r="H284">
        <v>240000</v>
      </c>
      <c r="I284">
        <v>240000</v>
      </c>
      <c r="J284" t="s">
        <v>144</v>
      </c>
    </row>
    <row r="285" spans="1:10" hidden="1" x14ac:dyDescent="0.25">
      <c r="A285" s="2">
        <v>45833</v>
      </c>
      <c r="B285" t="s">
        <v>26</v>
      </c>
      <c r="C285" t="s">
        <v>27</v>
      </c>
      <c r="D285" t="s">
        <v>28</v>
      </c>
      <c r="H285">
        <v>240000</v>
      </c>
      <c r="I285">
        <v>240000</v>
      </c>
      <c r="J285" t="s">
        <v>144</v>
      </c>
    </row>
    <row r="286" spans="1:10" hidden="1" x14ac:dyDescent="0.25">
      <c r="A286" s="2">
        <v>45841</v>
      </c>
      <c r="B286" t="s">
        <v>26</v>
      </c>
      <c r="C286" t="s">
        <v>27</v>
      </c>
      <c r="D286" t="s">
        <v>28</v>
      </c>
      <c r="H286">
        <v>240000</v>
      </c>
      <c r="I286">
        <v>240000</v>
      </c>
      <c r="J286" t="s">
        <v>144</v>
      </c>
    </row>
    <row r="287" spans="1:10" hidden="1" x14ac:dyDescent="0.25">
      <c r="A287" s="2">
        <v>45849</v>
      </c>
      <c r="B287" t="s">
        <v>26</v>
      </c>
      <c r="C287" t="s">
        <v>27</v>
      </c>
      <c r="D287" t="s">
        <v>28</v>
      </c>
      <c r="H287">
        <v>240000</v>
      </c>
      <c r="I287">
        <v>240000</v>
      </c>
      <c r="J287" t="s">
        <v>144</v>
      </c>
    </row>
    <row r="288" spans="1:10" hidden="1" x14ac:dyDescent="0.25">
      <c r="A288" s="2">
        <v>45854</v>
      </c>
      <c r="B288" t="s">
        <v>26</v>
      </c>
      <c r="C288" t="s">
        <v>27</v>
      </c>
      <c r="D288" t="s">
        <v>28</v>
      </c>
      <c r="H288">
        <v>240000</v>
      </c>
      <c r="I288">
        <v>240000</v>
      </c>
      <c r="J288" t="s">
        <v>144</v>
      </c>
    </row>
    <row r="289" spans="1:10" hidden="1" x14ac:dyDescent="0.25">
      <c r="A289" s="2">
        <v>45862</v>
      </c>
      <c r="B289" t="s">
        <v>26</v>
      </c>
      <c r="C289" t="s">
        <v>27</v>
      </c>
      <c r="D289" t="s">
        <v>28</v>
      </c>
      <c r="H289">
        <v>240000</v>
      </c>
      <c r="I289">
        <v>240000</v>
      </c>
      <c r="J289" t="s">
        <v>144</v>
      </c>
    </row>
    <row r="290" spans="1:10" hidden="1" x14ac:dyDescent="0.25">
      <c r="A290" s="2">
        <v>45868</v>
      </c>
      <c r="B290" t="s">
        <v>26</v>
      </c>
      <c r="C290" t="s">
        <v>27</v>
      </c>
      <c r="D290" t="s">
        <v>28</v>
      </c>
      <c r="H290">
        <v>240000</v>
      </c>
      <c r="I290">
        <v>240000</v>
      </c>
      <c r="J290" t="s">
        <v>144</v>
      </c>
    </row>
    <row r="291" spans="1:10" hidden="1" x14ac:dyDescent="0.25">
      <c r="A291" s="2">
        <v>45876</v>
      </c>
      <c r="B291" t="s">
        <v>26</v>
      </c>
      <c r="C291" t="s">
        <v>27</v>
      </c>
      <c r="D291" t="s">
        <v>28</v>
      </c>
      <c r="H291">
        <v>240000</v>
      </c>
      <c r="I291">
        <v>240000</v>
      </c>
      <c r="J291" t="s">
        <v>144</v>
      </c>
    </row>
    <row r="292" spans="1:10" hidden="1" x14ac:dyDescent="0.25">
      <c r="A292" s="2">
        <v>45883</v>
      </c>
      <c r="B292" t="s">
        <v>26</v>
      </c>
      <c r="C292" t="s">
        <v>27</v>
      </c>
      <c r="D292" t="s">
        <v>28</v>
      </c>
      <c r="H292">
        <v>240000</v>
      </c>
      <c r="I292">
        <v>240000</v>
      </c>
      <c r="J292" t="s">
        <v>144</v>
      </c>
    </row>
    <row r="293" spans="1:10" hidden="1" x14ac:dyDescent="0.25">
      <c r="A293" s="2">
        <v>45890</v>
      </c>
      <c r="B293" t="s">
        <v>26</v>
      </c>
      <c r="C293" t="s">
        <v>27</v>
      </c>
      <c r="D293" t="s">
        <v>28</v>
      </c>
      <c r="H293">
        <v>240000</v>
      </c>
      <c r="I293">
        <v>240000</v>
      </c>
      <c r="J293" t="s">
        <v>144</v>
      </c>
    </row>
    <row r="294" spans="1:10" hidden="1" x14ac:dyDescent="0.25">
      <c r="A294" s="2">
        <v>45897</v>
      </c>
      <c r="B294" t="s">
        <v>26</v>
      </c>
      <c r="C294" t="s">
        <v>27</v>
      </c>
      <c r="D294" t="s">
        <v>28</v>
      </c>
      <c r="H294">
        <v>240000</v>
      </c>
      <c r="I294">
        <v>240000</v>
      </c>
      <c r="J294" t="s">
        <v>144</v>
      </c>
    </row>
    <row r="295" spans="1:10" hidden="1" x14ac:dyDescent="0.25">
      <c r="A295" s="2">
        <v>45925</v>
      </c>
      <c r="B295" t="s">
        <v>26</v>
      </c>
      <c r="C295" t="s">
        <v>27</v>
      </c>
      <c r="D295" t="s">
        <v>28</v>
      </c>
      <c r="H295">
        <v>240000</v>
      </c>
      <c r="I295">
        <v>240000</v>
      </c>
      <c r="J295" t="s">
        <v>144</v>
      </c>
    </row>
    <row r="296" spans="1:10" hidden="1" x14ac:dyDescent="0.25">
      <c r="A296" s="2">
        <v>45931</v>
      </c>
      <c r="B296" t="s">
        <v>26</v>
      </c>
      <c r="C296" t="s">
        <v>27</v>
      </c>
      <c r="D296" t="s">
        <v>28</v>
      </c>
      <c r="H296">
        <v>240000</v>
      </c>
      <c r="I296">
        <v>240000</v>
      </c>
      <c r="J296" t="s">
        <v>144</v>
      </c>
    </row>
    <row r="297" spans="1:10" hidden="1" x14ac:dyDescent="0.25">
      <c r="A297" s="2">
        <v>45938</v>
      </c>
      <c r="B297" t="s">
        <v>26</v>
      </c>
      <c r="C297" t="s">
        <v>27</v>
      </c>
      <c r="D297" t="s">
        <v>28</v>
      </c>
      <c r="H297">
        <v>240000</v>
      </c>
      <c r="I297">
        <v>240000</v>
      </c>
      <c r="J297" t="s">
        <v>144</v>
      </c>
    </row>
    <row r="298" spans="1:10" hidden="1" x14ac:dyDescent="0.25">
      <c r="A298" s="2">
        <v>45945</v>
      </c>
      <c r="B298" t="s">
        <v>26</v>
      </c>
      <c r="C298" t="s">
        <v>27</v>
      </c>
      <c r="D298" t="s">
        <v>28</v>
      </c>
      <c r="H298">
        <v>240000</v>
      </c>
      <c r="I298">
        <v>240000</v>
      </c>
      <c r="J298" t="s">
        <v>144</v>
      </c>
    </row>
    <row r="299" spans="1:10" hidden="1" x14ac:dyDescent="0.25">
      <c r="A299" s="2">
        <v>45952</v>
      </c>
      <c r="B299" t="s">
        <v>26</v>
      </c>
      <c r="C299" t="s">
        <v>27</v>
      </c>
      <c r="D299" t="s">
        <v>28</v>
      </c>
      <c r="H299">
        <v>240000</v>
      </c>
      <c r="I299">
        <v>240000</v>
      </c>
      <c r="J299" t="s">
        <v>144</v>
      </c>
    </row>
    <row r="300" spans="1:10" hidden="1" x14ac:dyDescent="0.25">
      <c r="A300" s="2">
        <v>45959</v>
      </c>
      <c r="B300" t="s">
        <v>26</v>
      </c>
      <c r="C300" t="s">
        <v>27</v>
      </c>
      <c r="D300" t="s">
        <v>28</v>
      </c>
      <c r="H300">
        <v>240000</v>
      </c>
      <c r="I300">
        <v>240000</v>
      </c>
      <c r="J300" t="s">
        <v>144</v>
      </c>
    </row>
    <row r="301" spans="1:10" hidden="1" x14ac:dyDescent="0.25">
      <c r="A301" s="2">
        <v>45966</v>
      </c>
      <c r="B301" t="s">
        <v>26</v>
      </c>
      <c r="C301" t="s">
        <v>27</v>
      </c>
      <c r="D301" t="s">
        <v>28</v>
      </c>
      <c r="H301">
        <v>240000</v>
      </c>
      <c r="I301">
        <v>240000</v>
      </c>
      <c r="J301" t="s">
        <v>144</v>
      </c>
    </row>
    <row r="302" spans="1:10" hidden="1" x14ac:dyDescent="0.25">
      <c r="A302" s="2">
        <v>45975</v>
      </c>
      <c r="B302" t="s">
        <v>26</v>
      </c>
      <c r="C302" t="s">
        <v>27</v>
      </c>
      <c r="D302" t="s">
        <v>28</v>
      </c>
      <c r="H302">
        <v>240000</v>
      </c>
      <c r="I302">
        <v>240000</v>
      </c>
      <c r="J302" t="s">
        <v>144</v>
      </c>
    </row>
    <row r="303" spans="1:10" hidden="1" x14ac:dyDescent="0.25">
      <c r="A303" s="2">
        <v>45980</v>
      </c>
      <c r="B303" t="s">
        <v>26</v>
      </c>
      <c r="C303" t="s">
        <v>27</v>
      </c>
      <c r="D303" t="s">
        <v>28</v>
      </c>
      <c r="H303">
        <v>240000</v>
      </c>
      <c r="I303">
        <v>240000</v>
      </c>
      <c r="J303" t="s">
        <v>144</v>
      </c>
    </row>
    <row r="304" spans="1:10" hidden="1" x14ac:dyDescent="0.25">
      <c r="A304" s="2">
        <v>45987</v>
      </c>
      <c r="B304" t="s">
        <v>26</v>
      </c>
      <c r="C304" t="s">
        <v>27</v>
      </c>
      <c r="D304" t="s">
        <v>28</v>
      </c>
      <c r="H304">
        <v>240000</v>
      </c>
      <c r="I304">
        <v>240000</v>
      </c>
      <c r="J304" t="s">
        <v>144</v>
      </c>
    </row>
    <row r="305" spans="1:10" hidden="1" x14ac:dyDescent="0.25">
      <c r="A305" s="2">
        <v>45994</v>
      </c>
      <c r="B305" t="s">
        <v>26</v>
      </c>
      <c r="C305" t="s">
        <v>27</v>
      </c>
      <c r="D305" t="s">
        <v>28</v>
      </c>
      <c r="H305">
        <v>240000</v>
      </c>
      <c r="I305">
        <v>240000</v>
      </c>
      <c r="J305" t="s">
        <v>144</v>
      </c>
    </row>
    <row r="306" spans="1:10" hidden="1" x14ac:dyDescent="0.25">
      <c r="A306" s="2">
        <v>46001</v>
      </c>
      <c r="B306" t="s">
        <v>26</v>
      </c>
      <c r="C306" t="s">
        <v>27</v>
      </c>
      <c r="D306" t="s">
        <v>28</v>
      </c>
      <c r="H306">
        <v>240000</v>
      </c>
      <c r="I306">
        <v>240000</v>
      </c>
      <c r="J306" t="s">
        <v>144</v>
      </c>
    </row>
    <row r="307" spans="1:10" hidden="1" x14ac:dyDescent="0.25">
      <c r="A307" s="2">
        <v>46008</v>
      </c>
      <c r="B307" t="s">
        <v>26</v>
      </c>
      <c r="C307" t="s">
        <v>27</v>
      </c>
      <c r="D307" t="s">
        <v>28</v>
      </c>
      <c r="H307">
        <v>240000</v>
      </c>
      <c r="I307">
        <v>240000</v>
      </c>
      <c r="J307" t="s">
        <v>144</v>
      </c>
    </row>
    <row r="308" spans="1:10" hidden="1" x14ac:dyDescent="0.25">
      <c r="A308" s="2">
        <v>46015</v>
      </c>
      <c r="B308" t="s">
        <v>26</v>
      </c>
      <c r="C308" t="s">
        <v>27</v>
      </c>
      <c r="D308" t="s">
        <v>28</v>
      </c>
      <c r="H308">
        <v>240000</v>
      </c>
      <c r="I308">
        <v>240000</v>
      </c>
      <c r="J308" t="s">
        <v>144</v>
      </c>
    </row>
    <row r="309" spans="1:10" hidden="1" x14ac:dyDescent="0.25">
      <c r="A309" s="2">
        <v>46022</v>
      </c>
      <c r="B309" t="s">
        <v>26</v>
      </c>
      <c r="C309" t="s">
        <v>27</v>
      </c>
      <c r="D309" t="s">
        <v>28</v>
      </c>
      <c r="H309">
        <v>240000</v>
      </c>
      <c r="I309">
        <v>240000</v>
      </c>
      <c r="J309" t="s">
        <v>144</v>
      </c>
    </row>
    <row r="310" spans="1:10" hidden="1" x14ac:dyDescent="0.25">
      <c r="A310" s="2">
        <v>46031</v>
      </c>
      <c r="B310" t="s">
        <v>26</v>
      </c>
      <c r="C310" t="s">
        <v>27</v>
      </c>
      <c r="D310" t="s">
        <v>28</v>
      </c>
      <c r="H310">
        <v>240000</v>
      </c>
      <c r="I310">
        <v>240000</v>
      </c>
      <c r="J310" t="s">
        <v>144</v>
      </c>
    </row>
    <row r="311" spans="1:10" hidden="1" x14ac:dyDescent="0.25">
      <c r="A311" s="2">
        <v>46043</v>
      </c>
      <c r="B311" t="s">
        <v>26</v>
      </c>
      <c r="C311" t="s">
        <v>27</v>
      </c>
      <c r="D311" t="s">
        <v>28</v>
      </c>
      <c r="H311">
        <v>240000</v>
      </c>
      <c r="I311">
        <v>240000</v>
      </c>
      <c r="J311" t="s">
        <v>144</v>
      </c>
    </row>
    <row r="312" spans="1:10" hidden="1" x14ac:dyDescent="0.25">
      <c r="A312" s="2">
        <v>46051</v>
      </c>
      <c r="B312" t="s">
        <v>26</v>
      </c>
      <c r="C312" t="s">
        <v>27</v>
      </c>
      <c r="D312" t="s">
        <v>28</v>
      </c>
      <c r="H312">
        <v>240000</v>
      </c>
      <c r="I312">
        <v>240000</v>
      </c>
      <c r="J312" t="s">
        <v>144</v>
      </c>
    </row>
    <row r="313" spans="1:10" hidden="1" x14ac:dyDescent="0.25">
      <c r="A313" s="2">
        <v>46072</v>
      </c>
      <c r="B313" t="s">
        <v>26</v>
      </c>
      <c r="C313" t="s">
        <v>27</v>
      </c>
      <c r="D313" t="s">
        <v>28</v>
      </c>
      <c r="H313">
        <v>240000</v>
      </c>
      <c r="I313">
        <v>240000</v>
      </c>
      <c r="J313" t="s">
        <v>144</v>
      </c>
    </row>
    <row r="314" spans="1:10" hidden="1" x14ac:dyDescent="0.25">
      <c r="A314" s="2">
        <v>46080</v>
      </c>
      <c r="B314" t="s">
        <v>26</v>
      </c>
      <c r="C314" t="s">
        <v>27</v>
      </c>
      <c r="D314" t="s">
        <v>28</v>
      </c>
      <c r="H314">
        <v>240000</v>
      </c>
      <c r="I314">
        <v>240000</v>
      </c>
      <c r="J314" t="s">
        <v>144</v>
      </c>
    </row>
    <row r="315" spans="1:10" hidden="1" x14ac:dyDescent="0.25">
      <c r="A315" s="2">
        <v>46085</v>
      </c>
      <c r="B315" t="s">
        <v>26</v>
      </c>
      <c r="C315" t="s">
        <v>27</v>
      </c>
      <c r="D315" t="s">
        <v>28</v>
      </c>
      <c r="H315">
        <v>240000</v>
      </c>
      <c r="I315">
        <v>240000</v>
      </c>
      <c r="J315" t="s">
        <v>144</v>
      </c>
    </row>
    <row r="316" spans="1:10" hidden="1" x14ac:dyDescent="0.25">
      <c r="A316" s="2">
        <v>46094</v>
      </c>
      <c r="B316" t="s">
        <v>26</v>
      </c>
      <c r="C316" t="s">
        <v>27</v>
      </c>
      <c r="D316" t="s">
        <v>28</v>
      </c>
      <c r="H316">
        <v>240000</v>
      </c>
      <c r="I316">
        <v>240000</v>
      </c>
      <c r="J316" t="s">
        <v>144</v>
      </c>
    </row>
    <row r="317" spans="1:10" hidden="1" x14ac:dyDescent="0.25">
      <c r="A317" s="2">
        <v>46102</v>
      </c>
      <c r="B317" t="s">
        <v>26</v>
      </c>
      <c r="C317" t="s">
        <v>27</v>
      </c>
      <c r="D317" t="s">
        <v>28</v>
      </c>
      <c r="H317">
        <v>240000</v>
      </c>
      <c r="I317">
        <v>240000</v>
      </c>
      <c r="J317" t="s">
        <v>144</v>
      </c>
    </row>
    <row r="318" spans="1:10" hidden="1" x14ac:dyDescent="0.25">
      <c r="A318" s="2">
        <v>46107</v>
      </c>
      <c r="B318" t="s">
        <v>26</v>
      </c>
      <c r="C318" t="s">
        <v>27</v>
      </c>
      <c r="D318" t="s">
        <v>28</v>
      </c>
      <c r="H318">
        <v>240000</v>
      </c>
      <c r="I318">
        <v>240000</v>
      </c>
      <c r="J318" t="s">
        <v>144</v>
      </c>
    </row>
    <row r="319" spans="1:10" hidden="1" x14ac:dyDescent="0.25">
      <c r="A319" s="2">
        <v>46114</v>
      </c>
      <c r="B319" t="s">
        <v>26</v>
      </c>
      <c r="C319" t="s">
        <v>27</v>
      </c>
      <c r="D319" t="s">
        <v>28</v>
      </c>
      <c r="H319">
        <v>240000</v>
      </c>
      <c r="I319">
        <v>240000</v>
      </c>
      <c r="J319" t="s">
        <v>144</v>
      </c>
    </row>
    <row r="320" spans="1:10" hidden="1" x14ac:dyDescent="0.25">
      <c r="A320" s="2">
        <v>46128</v>
      </c>
      <c r="B320" t="s">
        <v>26</v>
      </c>
      <c r="C320" t="s">
        <v>27</v>
      </c>
      <c r="D320" t="s">
        <v>28</v>
      </c>
      <c r="H320">
        <v>240000</v>
      </c>
      <c r="I320">
        <v>240000</v>
      </c>
      <c r="J320" t="s">
        <v>144</v>
      </c>
    </row>
    <row r="321" spans="1:10" hidden="1" x14ac:dyDescent="0.25">
      <c r="A321" s="2">
        <v>46132</v>
      </c>
      <c r="B321" t="s">
        <v>26</v>
      </c>
      <c r="C321" t="s">
        <v>27</v>
      </c>
      <c r="D321" t="s">
        <v>28</v>
      </c>
      <c r="H321">
        <v>240000</v>
      </c>
      <c r="I321">
        <v>240000</v>
      </c>
      <c r="J321" t="s">
        <v>144</v>
      </c>
    </row>
    <row r="322" spans="1:10" hidden="1" x14ac:dyDescent="0.25">
      <c r="A322" s="2">
        <v>46149</v>
      </c>
      <c r="B322" t="s">
        <v>26</v>
      </c>
      <c r="C322" t="s">
        <v>27</v>
      </c>
      <c r="D322" t="s">
        <v>28</v>
      </c>
      <c r="H322">
        <v>240000</v>
      </c>
      <c r="I322">
        <v>240000</v>
      </c>
      <c r="J322" t="s">
        <v>144</v>
      </c>
    </row>
    <row r="323" spans="1:10" hidden="1" x14ac:dyDescent="0.25">
      <c r="A323" s="2">
        <v>46158</v>
      </c>
      <c r="B323" t="s">
        <v>26</v>
      </c>
      <c r="C323" t="s">
        <v>27</v>
      </c>
      <c r="D323" t="s">
        <v>28</v>
      </c>
      <c r="H323">
        <v>240000</v>
      </c>
      <c r="I323">
        <v>240000</v>
      </c>
      <c r="J323" t="s">
        <v>144</v>
      </c>
    </row>
    <row r="324" spans="1:10" hidden="1" x14ac:dyDescent="0.25">
      <c r="A324" s="2">
        <v>46165</v>
      </c>
      <c r="B324" t="s">
        <v>26</v>
      </c>
      <c r="C324" t="s">
        <v>27</v>
      </c>
      <c r="D324" t="s">
        <v>28</v>
      </c>
      <c r="H324">
        <v>240000</v>
      </c>
      <c r="I324">
        <v>240000</v>
      </c>
      <c r="J324" t="s">
        <v>144</v>
      </c>
    </row>
    <row r="325" spans="1:10" hidden="1" x14ac:dyDescent="0.25">
      <c r="A325" s="2">
        <v>46172</v>
      </c>
      <c r="B325" t="s">
        <v>26</v>
      </c>
      <c r="C325" t="s">
        <v>27</v>
      </c>
      <c r="D325" t="s">
        <v>28</v>
      </c>
      <c r="H325">
        <v>240000</v>
      </c>
      <c r="I325">
        <v>240000</v>
      </c>
      <c r="J325" t="s">
        <v>144</v>
      </c>
    </row>
    <row r="326" spans="1:10" hidden="1" x14ac:dyDescent="0.25">
      <c r="A326" s="2">
        <v>46180</v>
      </c>
      <c r="B326" t="s">
        <v>26</v>
      </c>
      <c r="C326" t="s">
        <v>27</v>
      </c>
      <c r="D326" t="s">
        <v>28</v>
      </c>
      <c r="H326">
        <v>240000</v>
      </c>
      <c r="I326">
        <v>240000</v>
      </c>
      <c r="J326" t="s">
        <v>144</v>
      </c>
    </row>
    <row r="327" spans="1:10" hidden="1" x14ac:dyDescent="0.25">
      <c r="A327" s="2">
        <v>46193</v>
      </c>
      <c r="B327" t="s">
        <v>26</v>
      </c>
      <c r="C327" t="s">
        <v>27</v>
      </c>
      <c r="D327" t="s">
        <v>28</v>
      </c>
      <c r="H327">
        <v>240000</v>
      </c>
      <c r="I327">
        <v>240000</v>
      </c>
      <c r="J327" t="s">
        <v>144</v>
      </c>
    </row>
    <row r="328" spans="1:10" hidden="1" x14ac:dyDescent="0.25">
      <c r="A328" s="2">
        <v>46205</v>
      </c>
      <c r="B328" t="s">
        <v>26</v>
      </c>
      <c r="C328" t="s">
        <v>27</v>
      </c>
      <c r="D328" t="s">
        <v>28</v>
      </c>
      <c r="H328">
        <v>240000</v>
      </c>
      <c r="I328">
        <v>240000</v>
      </c>
      <c r="J328" t="s">
        <v>144</v>
      </c>
    </row>
    <row r="329" spans="1:10" hidden="1" x14ac:dyDescent="0.25">
      <c r="A329" s="2">
        <v>46213</v>
      </c>
      <c r="B329" t="s">
        <v>26</v>
      </c>
      <c r="C329" t="s">
        <v>27</v>
      </c>
      <c r="D329" t="s">
        <v>28</v>
      </c>
      <c r="H329">
        <v>240000</v>
      </c>
      <c r="I329">
        <v>240000</v>
      </c>
      <c r="J329" t="s">
        <v>144</v>
      </c>
    </row>
    <row r="330" spans="1:10" hidden="1" x14ac:dyDescent="0.25">
      <c r="A330" s="2">
        <v>46225</v>
      </c>
      <c r="B330" t="s">
        <v>26</v>
      </c>
      <c r="C330" t="s">
        <v>27</v>
      </c>
      <c r="D330" t="s">
        <v>28</v>
      </c>
      <c r="H330">
        <v>240000</v>
      </c>
      <c r="I330">
        <v>240000</v>
      </c>
      <c r="J330" t="s">
        <v>144</v>
      </c>
    </row>
    <row r="331" spans="1:10" hidden="1" x14ac:dyDescent="0.25">
      <c r="A331" s="2">
        <v>45751</v>
      </c>
      <c r="B331" t="s">
        <v>30</v>
      </c>
      <c r="C331" t="s">
        <v>31</v>
      </c>
      <c r="D331" t="s">
        <v>200</v>
      </c>
      <c r="H331">
        <v>240000</v>
      </c>
      <c r="I331">
        <v>240000</v>
      </c>
      <c r="J331" t="s">
        <v>144</v>
      </c>
    </row>
    <row r="332" spans="1:10" hidden="1" x14ac:dyDescent="0.25">
      <c r="A332" s="2">
        <v>45759</v>
      </c>
      <c r="B332" t="s">
        <v>30</v>
      </c>
      <c r="C332" t="s">
        <v>31</v>
      </c>
      <c r="D332" t="s">
        <v>200</v>
      </c>
      <c r="H332">
        <v>240000</v>
      </c>
      <c r="I332">
        <v>240000</v>
      </c>
      <c r="J332" t="s">
        <v>144</v>
      </c>
    </row>
    <row r="333" spans="1:10" hidden="1" x14ac:dyDescent="0.25">
      <c r="A333" s="2">
        <v>45767</v>
      </c>
      <c r="B333" t="s">
        <v>30</v>
      </c>
      <c r="C333" t="s">
        <v>31</v>
      </c>
      <c r="D333" t="s">
        <v>200</v>
      </c>
      <c r="H333">
        <v>240000</v>
      </c>
      <c r="I333">
        <v>240000</v>
      </c>
      <c r="J333" t="s">
        <v>144</v>
      </c>
    </row>
    <row r="334" spans="1:10" hidden="1" x14ac:dyDescent="0.25">
      <c r="A334" s="2">
        <v>45775</v>
      </c>
      <c r="B334" t="s">
        <v>30</v>
      </c>
      <c r="C334" t="s">
        <v>31</v>
      </c>
      <c r="D334" t="s">
        <v>200</v>
      </c>
      <c r="H334">
        <v>240000</v>
      </c>
      <c r="I334">
        <v>240000</v>
      </c>
      <c r="J334" t="s">
        <v>144</v>
      </c>
    </row>
    <row r="335" spans="1:10" hidden="1" x14ac:dyDescent="0.25">
      <c r="A335" s="2">
        <v>45783</v>
      </c>
      <c r="B335" t="s">
        <v>30</v>
      </c>
      <c r="C335" t="s">
        <v>31</v>
      </c>
      <c r="D335" t="s">
        <v>200</v>
      </c>
      <c r="H335">
        <v>240000</v>
      </c>
      <c r="I335">
        <v>240000</v>
      </c>
      <c r="J335" t="s">
        <v>144</v>
      </c>
    </row>
    <row r="336" spans="1:10" hidden="1" x14ac:dyDescent="0.25">
      <c r="A336" s="2">
        <v>45796</v>
      </c>
      <c r="B336" t="s">
        <v>30</v>
      </c>
      <c r="C336" t="s">
        <v>31</v>
      </c>
      <c r="D336" t="s">
        <v>200</v>
      </c>
      <c r="H336">
        <v>240000</v>
      </c>
      <c r="I336">
        <v>240000</v>
      </c>
      <c r="J336" t="s">
        <v>144</v>
      </c>
    </row>
    <row r="337" spans="1:10" hidden="1" x14ac:dyDescent="0.25">
      <c r="A337" s="2">
        <v>45803</v>
      </c>
      <c r="B337" t="s">
        <v>30</v>
      </c>
      <c r="C337" t="s">
        <v>31</v>
      </c>
      <c r="D337" t="s">
        <v>200</v>
      </c>
      <c r="H337">
        <v>240000</v>
      </c>
      <c r="I337">
        <v>240000</v>
      </c>
      <c r="J337" t="s">
        <v>144</v>
      </c>
    </row>
    <row r="338" spans="1:10" hidden="1" x14ac:dyDescent="0.25">
      <c r="A338" s="2">
        <v>45807</v>
      </c>
      <c r="B338" t="s">
        <v>30</v>
      </c>
      <c r="C338" t="s">
        <v>31</v>
      </c>
      <c r="D338" t="s">
        <v>200</v>
      </c>
      <c r="H338">
        <v>240000</v>
      </c>
      <c r="I338">
        <v>240000</v>
      </c>
      <c r="J338" t="s">
        <v>144</v>
      </c>
    </row>
    <row r="339" spans="1:10" hidden="1" x14ac:dyDescent="0.25">
      <c r="A339" s="2">
        <v>45815</v>
      </c>
      <c r="B339" t="s">
        <v>30</v>
      </c>
      <c r="C339" t="s">
        <v>31</v>
      </c>
      <c r="D339" t="s">
        <v>200</v>
      </c>
      <c r="H339">
        <v>240000</v>
      </c>
      <c r="I339">
        <v>240000</v>
      </c>
      <c r="J339" t="s">
        <v>144</v>
      </c>
    </row>
    <row r="340" spans="1:10" hidden="1" x14ac:dyDescent="0.25">
      <c r="A340" s="2">
        <v>45824</v>
      </c>
      <c r="B340" t="s">
        <v>30</v>
      </c>
      <c r="C340" t="s">
        <v>31</v>
      </c>
      <c r="D340" t="s">
        <v>200</v>
      </c>
      <c r="H340">
        <v>240000</v>
      </c>
      <c r="I340">
        <v>240000</v>
      </c>
      <c r="J340" t="s">
        <v>144</v>
      </c>
    </row>
    <row r="341" spans="1:10" hidden="1" x14ac:dyDescent="0.25">
      <c r="A341" s="2">
        <v>45831</v>
      </c>
      <c r="B341" t="s">
        <v>30</v>
      </c>
      <c r="C341" t="s">
        <v>31</v>
      </c>
      <c r="D341" t="s">
        <v>200</v>
      </c>
      <c r="H341">
        <v>240000</v>
      </c>
      <c r="I341">
        <v>240000</v>
      </c>
      <c r="J341" t="s">
        <v>144</v>
      </c>
    </row>
    <row r="342" spans="1:10" hidden="1" x14ac:dyDescent="0.25">
      <c r="A342" s="2">
        <v>45840</v>
      </c>
      <c r="B342" t="s">
        <v>30</v>
      </c>
      <c r="C342" t="s">
        <v>31</v>
      </c>
      <c r="D342" t="s">
        <v>200</v>
      </c>
      <c r="H342">
        <v>240000</v>
      </c>
      <c r="I342">
        <v>240000</v>
      </c>
      <c r="J342" t="s">
        <v>144</v>
      </c>
    </row>
    <row r="343" spans="1:10" hidden="1" x14ac:dyDescent="0.25">
      <c r="A343" s="2">
        <v>45849</v>
      </c>
      <c r="B343" t="s">
        <v>30</v>
      </c>
      <c r="C343" t="s">
        <v>31</v>
      </c>
      <c r="D343" t="s">
        <v>200</v>
      </c>
      <c r="H343">
        <v>240000</v>
      </c>
      <c r="I343">
        <v>240000</v>
      </c>
      <c r="J343" t="s">
        <v>144</v>
      </c>
    </row>
    <row r="344" spans="1:10" hidden="1" x14ac:dyDescent="0.25">
      <c r="A344" s="2">
        <v>45857</v>
      </c>
      <c r="B344" t="s">
        <v>30</v>
      </c>
      <c r="C344" t="s">
        <v>31</v>
      </c>
      <c r="D344" t="s">
        <v>200</v>
      </c>
      <c r="H344">
        <v>240000</v>
      </c>
      <c r="I344">
        <v>240000</v>
      </c>
      <c r="J344" t="s">
        <v>144</v>
      </c>
    </row>
    <row r="345" spans="1:10" hidden="1" x14ac:dyDescent="0.25">
      <c r="A345" s="2">
        <v>45865</v>
      </c>
      <c r="B345" t="s">
        <v>30</v>
      </c>
      <c r="C345" t="s">
        <v>31</v>
      </c>
      <c r="D345" t="s">
        <v>200</v>
      </c>
      <c r="H345">
        <v>240000</v>
      </c>
      <c r="I345">
        <v>240000</v>
      </c>
      <c r="J345" t="s">
        <v>144</v>
      </c>
    </row>
    <row r="346" spans="1:10" hidden="1" x14ac:dyDescent="0.25">
      <c r="A346" s="2">
        <v>45873</v>
      </c>
      <c r="B346" t="s">
        <v>30</v>
      </c>
      <c r="C346" t="s">
        <v>31</v>
      </c>
      <c r="D346" t="s">
        <v>200</v>
      </c>
      <c r="H346">
        <v>240000</v>
      </c>
      <c r="I346">
        <v>240000</v>
      </c>
      <c r="J346" t="s">
        <v>144</v>
      </c>
    </row>
    <row r="347" spans="1:10" hidden="1" x14ac:dyDescent="0.25">
      <c r="A347" s="2">
        <v>45881</v>
      </c>
      <c r="B347" t="s">
        <v>30</v>
      </c>
      <c r="C347" t="s">
        <v>31</v>
      </c>
      <c r="D347" t="s">
        <v>200</v>
      </c>
      <c r="H347">
        <v>240000</v>
      </c>
      <c r="I347">
        <v>240000</v>
      </c>
      <c r="J347" t="s">
        <v>144</v>
      </c>
    </row>
    <row r="348" spans="1:10" hidden="1" x14ac:dyDescent="0.25">
      <c r="A348" s="2">
        <v>45889</v>
      </c>
      <c r="B348" t="s">
        <v>30</v>
      </c>
      <c r="C348" t="s">
        <v>31</v>
      </c>
      <c r="D348" t="s">
        <v>200</v>
      </c>
      <c r="H348">
        <v>240000</v>
      </c>
      <c r="I348">
        <v>240000</v>
      </c>
      <c r="J348" t="s">
        <v>144</v>
      </c>
    </row>
    <row r="349" spans="1:10" hidden="1" x14ac:dyDescent="0.25">
      <c r="A349" s="2">
        <v>45897</v>
      </c>
      <c r="B349" t="s">
        <v>30</v>
      </c>
      <c r="C349" t="s">
        <v>31</v>
      </c>
      <c r="D349" t="s">
        <v>200</v>
      </c>
      <c r="H349">
        <v>240000</v>
      </c>
      <c r="I349">
        <v>240000</v>
      </c>
      <c r="J349" t="s">
        <v>144</v>
      </c>
    </row>
    <row r="350" spans="1:10" hidden="1" x14ac:dyDescent="0.25">
      <c r="A350" s="2">
        <v>45905</v>
      </c>
      <c r="B350" t="s">
        <v>30</v>
      </c>
      <c r="C350" t="s">
        <v>31</v>
      </c>
      <c r="D350" t="s">
        <v>200</v>
      </c>
      <c r="H350">
        <v>240000</v>
      </c>
      <c r="I350">
        <v>240000</v>
      </c>
      <c r="J350" t="s">
        <v>144</v>
      </c>
    </row>
    <row r="351" spans="1:10" hidden="1" x14ac:dyDescent="0.25">
      <c r="A351" s="2">
        <v>45913</v>
      </c>
      <c r="B351" t="s">
        <v>30</v>
      </c>
      <c r="C351" t="s">
        <v>31</v>
      </c>
      <c r="D351" t="s">
        <v>200</v>
      </c>
      <c r="H351">
        <v>240000</v>
      </c>
      <c r="I351">
        <v>240000</v>
      </c>
      <c r="J351" t="s">
        <v>144</v>
      </c>
    </row>
    <row r="352" spans="1:10" hidden="1" x14ac:dyDescent="0.25">
      <c r="A352" s="2">
        <v>45921</v>
      </c>
      <c r="B352" t="s">
        <v>30</v>
      </c>
      <c r="C352" t="s">
        <v>31</v>
      </c>
      <c r="D352" t="s">
        <v>200</v>
      </c>
      <c r="H352">
        <v>240000</v>
      </c>
      <c r="I352">
        <v>240000</v>
      </c>
      <c r="J352" t="s">
        <v>144</v>
      </c>
    </row>
    <row r="353" spans="1:10" hidden="1" x14ac:dyDescent="0.25">
      <c r="A353" s="2">
        <v>45929</v>
      </c>
      <c r="B353" t="s">
        <v>30</v>
      </c>
      <c r="C353" t="s">
        <v>31</v>
      </c>
      <c r="D353" t="s">
        <v>200</v>
      </c>
      <c r="H353">
        <v>240000</v>
      </c>
      <c r="I353">
        <v>240000</v>
      </c>
      <c r="J353" t="s">
        <v>144</v>
      </c>
    </row>
    <row r="354" spans="1:10" hidden="1" x14ac:dyDescent="0.25">
      <c r="A354" s="2">
        <v>45937</v>
      </c>
      <c r="B354" t="s">
        <v>30</v>
      </c>
      <c r="C354" t="s">
        <v>31</v>
      </c>
      <c r="D354" t="s">
        <v>200</v>
      </c>
      <c r="H354">
        <v>240000</v>
      </c>
      <c r="I354">
        <v>240000</v>
      </c>
      <c r="J354" t="s">
        <v>144</v>
      </c>
    </row>
    <row r="355" spans="1:10" hidden="1" x14ac:dyDescent="0.25">
      <c r="A355" s="2">
        <v>45943</v>
      </c>
      <c r="B355" t="s">
        <v>30</v>
      </c>
      <c r="C355" t="s">
        <v>31</v>
      </c>
      <c r="D355" t="s">
        <v>200</v>
      </c>
      <c r="H355">
        <v>240000</v>
      </c>
      <c r="I355">
        <v>240000</v>
      </c>
      <c r="J355" t="s">
        <v>144</v>
      </c>
    </row>
    <row r="356" spans="1:10" hidden="1" x14ac:dyDescent="0.25">
      <c r="A356" s="2">
        <v>45951</v>
      </c>
      <c r="B356" t="s">
        <v>30</v>
      </c>
      <c r="C356" t="s">
        <v>31</v>
      </c>
      <c r="D356" t="s">
        <v>200</v>
      </c>
      <c r="H356">
        <v>240000</v>
      </c>
      <c r="I356">
        <v>240000</v>
      </c>
      <c r="J356" t="s">
        <v>144</v>
      </c>
    </row>
    <row r="357" spans="1:10" hidden="1" x14ac:dyDescent="0.25">
      <c r="A357" s="2">
        <v>45960</v>
      </c>
      <c r="B357" t="s">
        <v>30</v>
      </c>
      <c r="C357" t="s">
        <v>31</v>
      </c>
      <c r="D357" t="s">
        <v>200</v>
      </c>
      <c r="H357">
        <v>240000</v>
      </c>
      <c r="I357">
        <v>240000</v>
      </c>
      <c r="J357" t="s">
        <v>144</v>
      </c>
    </row>
    <row r="358" spans="1:10" hidden="1" x14ac:dyDescent="0.25">
      <c r="A358" s="2">
        <v>45969</v>
      </c>
      <c r="B358" t="s">
        <v>30</v>
      </c>
      <c r="C358" t="s">
        <v>31</v>
      </c>
      <c r="D358" t="s">
        <v>200</v>
      </c>
      <c r="H358">
        <v>240000</v>
      </c>
      <c r="I358">
        <v>240000</v>
      </c>
      <c r="J358" t="s">
        <v>144</v>
      </c>
    </row>
    <row r="359" spans="1:10" hidden="1" x14ac:dyDescent="0.25">
      <c r="A359" s="2">
        <v>45976</v>
      </c>
      <c r="B359" t="s">
        <v>30</v>
      </c>
      <c r="C359" t="s">
        <v>31</v>
      </c>
      <c r="D359" t="s">
        <v>200</v>
      </c>
      <c r="H359">
        <v>240000</v>
      </c>
      <c r="I359">
        <v>240000</v>
      </c>
      <c r="J359" t="s">
        <v>144</v>
      </c>
    </row>
    <row r="360" spans="1:10" hidden="1" x14ac:dyDescent="0.25">
      <c r="A360" s="2">
        <v>45984</v>
      </c>
      <c r="B360" t="s">
        <v>30</v>
      </c>
      <c r="C360" t="s">
        <v>31</v>
      </c>
      <c r="D360" t="s">
        <v>200</v>
      </c>
      <c r="H360">
        <v>240000</v>
      </c>
      <c r="I360">
        <v>240000</v>
      </c>
      <c r="J360" t="s">
        <v>144</v>
      </c>
    </row>
    <row r="361" spans="1:10" hidden="1" x14ac:dyDescent="0.25">
      <c r="A361" s="2">
        <v>45992</v>
      </c>
      <c r="B361" t="s">
        <v>30</v>
      </c>
      <c r="C361" t="s">
        <v>31</v>
      </c>
      <c r="D361" t="s">
        <v>200</v>
      </c>
      <c r="H361">
        <v>240000</v>
      </c>
      <c r="I361">
        <v>240000</v>
      </c>
      <c r="J361" t="s">
        <v>144</v>
      </c>
    </row>
    <row r="362" spans="1:10" hidden="1" x14ac:dyDescent="0.25">
      <c r="A362" s="2">
        <v>46000</v>
      </c>
      <c r="B362" t="s">
        <v>30</v>
      </c>
      <c r="C362" t="s">
        <v>31</v>
      </c>
      <c r="D362" t="s">
        <v>200</v>
      </c>
      <c r="H362">
        <v>240000</v>
      </c>
      <c r="I362">
        <v>240000</v>
      </c>
      <c r="J362" t="s">
        <v>144</v>
      </c>
    </row>
    <row r="363" spans="1:10" hidden="1" x14ac:dyDescent="0.25">
      <c r="A363" s="2">
        <v>46008</v>
      </c>
      <c r="B363" t="s">
        <v>30</v>
      </c>
      <c r="C363" t="s">
        <v>31</v>
      </c>
      <c r="D363" t="s">
        <v>200</v>
      </c>
      <c r="H363">
        <v>240000</v>
      </c>
      <c r="I363">
        <v>240000</v>
      </c>
      <c r="J363" t="s">
        <v>144</v>
      </c>
    </row>
    <row r="364" spans="1:10" hidden="1" x14ac:dyDescent="0.25">
      <c r="A364" s="2">
        <v>46016</v>
      </c>
      <c r="B364" t="s">
        <v>30</v>
      </c>
      <c r="C364" t="s">
        <v>31</v>
      </c>
      <c r="D364" t="s">
        <v>200</v>
      </c>
      <c r="H364">
        <v>240000</v>
      </c>
      <c r="I364">
        <v>240000</v>
      </c>
      <c r="J364" t="s">
        <v>144</v>
      </c>
    </row>
    <row r="365" spans="1:10" hidden="1" x14ac:dyDescent="0.25">
      <c r="A365" s="2">
        <v>46029</v>
      </c>
      <c r="B365" t="s">
        <v>30</v>
      </c>
      <c r="C365" t="s">
        <v>31</v>
      </c>
      <c r="D365" t="s">
        <v>200</v>
      </c>
      <c r="H365">
        <v>240000</v>
      </c>
      <c r="I365">
        <v>240000</v>
      </c>
      <c r="J365" t="s">
        <v>144</v>
      </c>
    </row>
    <row r="366" spans="1:10" hidden="1" x14ac:dyDescent="0.25">
      <c r="A366" s="2">
        <v>46037</v>
      </c>
      <c r="B366" t="s">
        <v>30</v>
      </c>
      <c r="C366" t="s">
        <v>31</v>
      </c>
      <c r="D366" t="s">
        <v>200</v>
      </c>
      <c r="H366">
        <v>240000</v>
      </c>
      <c r="I366">
        <v>240000</v>
      </c>
      <c r="J366" t="s">
        <v>144</v>
      </c>
    </row>
    <row r="367" spans="1:10" hidden="1" x14ac:dyDescent="0.25">
      <c r="A367" s="2">
        <v>46045</v>
      </c>
      <c r="B367" t="s">
        <v>30</v>
      </c>
      <c r="C367" t="s">
        <v>31</v>
      </c>
      <c r="D367" t="s">
        <v>200</v>
      </c>
      <c r="H367">
        <v>240000</v>
      </c>
      <c r="I367">
        <v>240000</v>
      </c>
      <c r="J367" t="s">
        <v>144</v>
      </c>
    </row>
    <row r="368" spans="1:10" hidden="1" x14ac:dyDescent="0.25">
      <c r="A368" s="2">
        <v>46054</v>
      </c>
      <c r="B368" t="s">
        <v>30</v>
      </c>
      <c r="C368" t="s">
        <v>31</v>
      </c>
      <c r="D368" t="s">
        <v>200</v>
      </c>
      <c r="H368">
        <v>240000</v>
      </c>
      <c r="I368">
        <v>240000</v>
      </c>
      <c r="J368" t="s">
        <v>144</v>
      </c>
    </row>
    <row r="369" spans="1:10" hidden="1" x14ac:dyDescent="0.25">
      <c r="A369" s="2">
        <v>46062</v>
      </c>
      <c r="B369" t="s">
        <v>30</v>
      </c>
      <c r="C369" t="s">
        <v>31</v>
      </c>
      <c r="D369" t="s">
        <v>200</v>
      </c>
      <c r="H369">
        <v>240000</v>
      </c>
      <c r="I369">
        <v>240000</v>
      </c>
      <c r="J369" t="s">
        <v>144</v>
      </c>
    </row>
    <row r="370" spans="1:10" hidden="1" x14ac:dyDescent="0.25">
      <c r="A370" s="2">
        <v>46070</v>
      </c>
      <c r="B370" t="s">
        <v>30</v>
      </c>
      <c r="C370" t="s">
        <v>31</v>
      </c>
      <c r="D370" t="s">
        <v>200</v>
      </c>
      <c r="H370">
        <v>240000</v>
      </c>
      <c r="I370">
        <v>240000</v>
      </c>
      <c r="J370" t="s">
        <v>144</v>
      </c>
    </row>
    <row r="371" spans="1:10" hidden="1" x14ac:dyDescent="0.25">
      <c r="A371" s="2">
        <v>46078</v>
      </c>
      <c r="B371" t="s">
        <v>30</v>
      </c>
      <c r="C371" t="s">
        <v>31</v>
      </c>
      <c r="D371" t="s">
        <v>200</v>
      </c>
      <c r="H371">
        <v>240000</v>
      </c>
      <c r="I371">
        <v>240000</v>
      </c>
      <c r="J371" t="s">
        <v>144</v>
      </c>
    </row>
    <row r="372" spans="1:10" hidden="1" x14ac:dyDescent="0.25">
      <c r="A372" s="2">
        <v>46086</v>
      </c>
      <c r="B372" t="s">
        <v>30</v>
      </c>
      <c r="C372" t="s">
        <v>31</v>
      </c>
      <c r="D372" t="s">
        <v>200</v>
      </c>
      <c r="H372">
        <v>240000</v>
      </c>
      <c r="I372">
        <v>240000</v>
      </c>
      <c r="J372" t="s">
        <v>144</v>
      </c>
    </row>
    <row r="373" spans="1:10" hidden="1" x14ac:dyDescent="0.25">
      <c r="A373" s="2">
        <v>46094</v>
      </c>
      <c r="B373" t="s">
        <v>30</v>
      </c>
      <c r="C373" t="s">
        <v>31</v>
      </c>
      <c r="D373" t="s">
        <v>200</v>
      </c>
      <c r="H373">
        <v>240000</v>
      </c>
      <c r="I373">
        <v>240000</v>
      </c>
      <c r="J373" t="s">
        <v>144</v>
      </c>
    </row>
    <row r="374" spans="1:10" hidden="1" x14ac:dyDescent="0.25">
      <c r="A374" s="2">
        <v>46102</v>
      </c>
      <c r="B374" t="s">
        <v>30</v>
      </c>
      <c r="C374" t="s">
        <v>31</v>
      </c>
      <c r="D374" t="s">
        <v>200</v>
      </c>
      <c r="H374">
        <v>240000</v>
      </c>
      <c r="I374">
        <v>240000</v>
      </c>
      <c r="J374" t="s">
        <v>144</v>
      </c>
    </row>
    <row r="375" spans="1:10" hidden="1" x14ac:dyDescent="0.25">
      <c r="A375" s="2">
        <v>46110</v>
      </c>
      <c r="B375" t="s">
        <v>30</v>
      </c>
      <c r="C375" t="s">
        <v>31</v>
      </c>
      <c r="D375" t="s">
        <v>200</v>
      </c>
      <c r="H375">
        <v>240000</v>
      </c>
      <c r="I375">
        <v>240000</v>
      </c>
      <c r="J375" t="s">
        <v>144</v>
      </c>
    </row>
    <row r="376" spans="1:10" hidden="1" x14ac:dyDescent="0.25">
      <c r="A376" s="2">
        <v>46119</v>
      </c>
      <c r="B376" t="s">
        <v>30</v>
      </c>
      <c r="C376" t="s">
        <v>31</v>
      </c>
      <c r="D376" t="s">
        <v>200</v>
      </c>
      <c r="H376">
        <v>240000</v>
      </c>
      <c r="I376">
        <v>240000</v>
      </c>
      <c r="J376" t="s">
        <v>144</v>
      </c>
    </row>
    <row r="377" spans="1:10" hidden="1" x14ac:dyDescent="0.25">
      <c r="A377" s="2">
        <v>46127</v>
      </c>
      <c r="B377" t="s">
        <v>30</v>
      </c>
      <c r="C377" t="s">
        <v>31</v>
      </c>
      <c r="D377" t="s">
        <v>200</v>
      </c>
      <c r="H377">
        <v>240000</v>
      </c>
      <c r="I377">
        <v>240000</v>
      </c>
      <c r="J377" t="s">
        <v>144</v>
      </c>
    </row>
    <row r="378" spans="1:10" hidden="1" x14ac:dyDescent="0.25">
      <c r="A378" s="2">
        <v>46135</v>
      </c>
      <c r="B378" t="s">
        <v>30</v>
      </c>
      <c r="C378" t="s">
        <v>31</v>
      </c>
      <c r="D378" t="s">
        <v>200</v>
      </c>
      <c r="H378">
        <v>240000</v>
      </c>
      <c r="I378">
        <v>240000</v>
      </c>
      <c r="J378" t="s">
        <v>144</v>
      </c>
    </row>
    <row r="379" spans="1:10" hidden="1" x14ac:dyDescent="0.25">
      <c r="A379" s="2">
        <v>46144</v>
      </c>
      <c r="B379" t="s">
        <v>30</v>
      </c>
      <c r="C379" t="s">
        <v>31</v>
      </c>
      <c r="D379" t="s">
        <v>200</v>
      </c>
      <c r="H379">
        <v>240000</v>
      </c>
      <c r="I379">
        <v>240000</v>
      </c>
      <c r="J379" t="s">
        <v>144</v>
      </c>
    </row>
    <row r="380" spans="1:10" hidden="1" x14ac:dyDescent="0.25">
      <c r="A380" s="2">
        <v>46152</v>
      </c>
      <c r="B380" t="s">
        <v>30</v>
      </c>
      <c r="C380" t="s">
        <v>31</v>
      </c>
      <c r="D380" t="s">
        <v>200</v>
      </c>
      <c r="H380">
        <v>240000</v>
      </c>
      <c r="I380">
        <v>240000</v>
      </c>
      <c r="J380" t="s">
        <v>144</v>
      </c>
    </row>
    <row r="381" spans="1:10" hidden="1" x14ac:dyDescent="0.25">
      <c r="A381" s="2">
        <v>46160</v>
      </c>
      <c r="B381" t="s">
        <v>30</v>
      </c>
      <c r="C381" t="s">
        <v>31</v>
      </c>
      <c r="D381" t="s">
        <v>200</v>
      </c>
      <c r="H381">
        <v>240000</v>
      </c>
      <c r="I381">
        <v>240000</v>
      </c>
      <c r="J381" t="s">
        <v>144</v>
      </c>
    </row>
    <row r="382" spans="1:10" hidden="1" x14ac:dyDescent="0.25">
      <c r="A382" s="2">
        <v>46168</v>
      </c>
      <c r="B382" t="s">
        <v>30</v>
      </c>
      <c r="C382" t="s">
        <v>31</v>
      </c>
      <c r="D382" t="s">
        <v>200</v>
      </c>
      <c r="H382">
        <v>240000</v>
      </c>
      <c r="I382">
        <v>240000</v>
      </c>
      <c r="J382" t="s">
        <v>144</v>
      </c>
    </row>
    <row r="383" spans="1:10" hidden="1" x14ac:dyDescent="0.25">
      <c r="A383" s="2">
        <v>46176</v>
      </c>
      <c r="B383" t="s">
        <v>30</v>
      </c>
      <c r="C383" t="s">
        <v>31</v>
      </c>
      <c r="D383" t="s">
        <v>200</v>
      </c>
      <c r="H383">
        <v>240000</v>
      </c>
      <c r="I383">
        <v>240000</v>
      </c>
      <c r="J383" t="s">
        <v>144</v>
      </c>
    </row>
    <row r="384" spans="1:10" hidden="1" x14ac:dyDescent="0.25">
      <c r="A384" s="2">
        <v>46184</v>
      </c>
      <c r="B384" t="s">
        <v>30</v>
      </c>
      <c r="C384" t="s">
        <v>31</v>
      </c>
      <c r="D384" t="s">
        <v>200</v>
      </c>
      <c r="H384">
        <v>240000</v>
      </c>
      <c r="I384">
        <v>240000</v>
      </c>
      <c r="J384" t="s">
        <v>144</v>
      </c>
    </row>
    <row r="385" spans="1:10" hidden="1" x14ac:dyDescent="0.25">
      <c r="A385" s="2">
        <v>46192</v>
      </c>
      <c r="B385" t="s">
        <v>30</v>
      </c>
      <c r="C385" t="s">
        <v>31</v>
      </c>
      <c r="D385" t="s">
        <v>200</v>
      </c>
      <c r="H385">
        <v>240000</v>
      </c>
      <c r="I385">
        <v>240000</v>
      </c>
      <c r="J385" t="s">
        <v>144</v>
      </c>
    </row>
    <row r="386" spans="1:10" hidden="1" x14ac:dyDescent="0.25">
      <c r="A386" s="2">
        <v>46201</v>
      </c>
      <c r="B386" t="s">
        <v>30</v>
      </c>
      <c r="C386" t="s">
        <v>31</v>
      </c>
      <c r="D386" t="s">
        <v>200</v>
      </c>
      <c r="H386">
        <v>240000</v>
      </c>
      <c r="I386">
        <v>240000</v>
      </c>
      <c r="J386" t="s">
        <v>144</v>
      </c>
    </row>
    <row r="387" spans="1:10" hidden="1" x14ac:dyDescent="0.25">
      <c r="A387" s="2">
        <v>46208</v>
      </c>
      <c r="B387" t="s">
        <v>30</v>
      </c>
      <c r="C387" t="s">
        <v>31</v>
      </c>
      <c r="D387" t="s">
        <v>200</v>
      </c>
      <c r="H387">
        <v>240000</v>
      </c>
      <c r="I387">
        <v>240000</v>
      </c>
      <c r="J387" t="s">
        <v>144</v>
      </c>
    </row>
    <row r="388" spans="1:10" hidden="1" x14ac:dyDescent="0.25">
      <c r="A388" s="2">
        <v>46217</v>
      </c>
      <c r="B388" t="s">
        <v>30</v>
      </c>
      <c r="C388" t="s">
        <v>31</v>
      </c>
      <c r="D388" t="s">
        <v>200</v>
      </c>
      <c r="H388">
        <v>240000</v>
      </c>
      <c r="I388">
        <v>240000</v>
      </c>
      <c r="J388" t="s">
        <v>144</v>
      </c>
    </row>
    <row r="389" spans="1:10" hidden="1" x14ac:dyDescent="0.25">
      <c r="A389" s="2">
        <v>46224</v>
      </c>
      <c r="B389" t="s">
        <v>30</v>
      </c>
      <c r="C389" t="s">
        <v>31</v>
      </c>
      <c r="D389" t="s">
        <v>200</v>
      </c>
      <c r="H389">
        <v>240000</v>
      </c>
      <c r="I389">
        <v>240000</v>
      </c>
      <c r="J389" t="s">
        <v>144</v>
      </c>
    </row>
    <row r="390" spans="1:10" x14ac:dyDescent="0.25">
      <c r="A390" s="2">
        <v>45785</v>
      </c>
      <c r="B390" t="s">
        <v>34</v>
      </c>
      <c r="C390" t="s">
        <v>35</v>
      </c>
      <c r="D390" t="s">
        <v>36</v>
      </c>
      <c r="H390">
        <v>240000</v>
      </c>
      <c r="I390">
        <v>240000</v>
      </c>
      <c r="J390" t="s">
        <v>144</v>
      </c>
    </row>
    <row r="391" spans="1:10" x14ac:dyDescent="0.25">
      <c r="A391" s="2">
        <v>45793</v>
      </c>
      <c r="B391" t="s">
        <v>34</v>
      </c>
      <c r="C391" t="s">
        <v>35</v>
      </c>
      <c r="D391" t="s">
        <v>36</v>
      </c>
      <c r="H391">
        <v>240000</v>
      </c>
      <c r="I391">
        <v>240000</v>
      </c>
      <c r="J391" t="s">
        <v>144</v>
      </c>
    </row>
    <row r="392" spans="1:10" x14ac:dyDescent="0.25">
      <c r="A392" s="2">
        <v>45801</v>
      </c>
      <c r="B392" t="s">
        <v>34</v>
      </c>
      <c r="C392" t="s">
        <v>35</v>
      </c>
      <c r="D392" t="s">
        <v>36</v>
      </c>
      <c r="H392">
        <v>240000</v>
      </c>
      <c r="I392">
        <v>240000</v>
      </c>
      <c r="J392" t="s">
        <v>144</v>
      </c>
    </row>
    <row r="393" spans="1:10" x14ac:dyDescent="0.25">
      <c r="A393" s="2">
        <v>45809</v>
      </c>
      <c r="B393" t="s">
        <v>34</v>
      </c>
      <c r="C393" t="s">
        <v>35</v>
      </c>
      <c r="D393" t="s">
        <v>36</v>
      </c>
      <c r="H393">
        <v>240000</v>
      </c>
      <c r="I393">
        <v>240000</v>
      </c>
      <c r="J393" t="s">
        <v>144</v>
      </c>
    </row>
    <row r="394" spans="1:10" x14ac:dyDescent="0.25">
      <c r="A394" s="2">
        <v>45817</v>
      </c>
      <c r="B394" t="s">
        <v>34</v>
      </c>
      <c r="C394" t="s">
        <v>35</v>
      </c>
      <c r="D394" t="s">
        <v>36</v>
      </c>
      <c r="H394">
        <v>240000</v>
      </c>
      <c r="I394">
        <v>240000</v>
      </c>
      <c r="J394" t="s">
        <v>144</v>
      </c>
    </row>
    <row r="395" spans="1:10" x14ac:dyDescent="0.25">
      <c r="A395" s="2">
        <v>45824</v>
      </c>
      <c r="B395" t="s">
        <v>34</v>
      </c>
      <c r="C395" t="s">
        <v>35</v>
      </c>
      <c r="D395" t="s">
        <v>36</v>
      </c>
      <c r="H395">
        <v>240000</v>
      </c>
      <c r="I395">
        <v>240000</v>
      </c>
      <c r="J395" t="s">
        <v>144</v>
      </c>
    </row>
    <row r="396" spans="1:10" x14ac:dyDescent="0.25">
      <c r="A396" s="2">
        <v>45833</v>
      </c>
      <c r="B396" t="s">
        <v>34</v>
      </c>
      <c r="C396" t="s">
        <v>35</v>
      </c>
      <c r="D396" t="s">
        <v>36</v>
      </c>
      <c r="H396">
        <v>240000</v>
      </c>
      <c r="I396">
        <v>240000</v>
      </c>
      <c r="J396" t="s">
        <v>144</v>
      </c>
    </row>
    <row r="397" spans="1:10" x14ac:dyDescent="0.25">
      <c r="A397" s="2">
        <v>45841</v>
      </c>
      <c r="B397" t="s">
        <v>34</v>
      </c>
      <c r="C397" t="s">
        <v>35</v>
      </c>
      <c r="D397" t="s">
        <v>36</v>
      </c>
      <c r="H397">
        <v>240000</v>
      </c>
      <c r="I397">
        <v>240000</v>
      </c>
      <c r="J397" t="s">
        <v>144</v>
      </c>
    </row>
    <row r="398" spans="1:10" x14ac:dyDescent="0.25">
      <c r="A398" s="2">
        <v>45849</v>
      </c>
      <c r="B398" t="s">
        <v>34</v>
      </c>
      <c r="C398" t="s">
        <v>35</v>
      </c>
      <c r="D398" t="s">
        <v>36</v>
      </c>
      <c r="H398">
        <v>240000</v>
      </c>
      <c r="I398">
        <v>240000</v>
      </c>
      <c r="J398" t="s">
        <v>144</v>
      </c>
    </row>
    <row r="399" spans="1:10" x14ac:dyDescent="0.25">
      <c r="A399" s="2">
        <v>45857</v>
      </c>
      <c r="B399" t="s">
        <v>34</v>
      </c>
      <c r="C399" t="s">
        <v>35</v>
      </c>
      <c r="D399" t="s">
        <v>36</v>
      </c>
      <c r="H399">
        <v>240000</v>
      </c>
      <c r="I399">
        <v>240000</v>
      </c>
      <c r="J399" t="s">
        <v>144</v>
      </c>
    </row>
    <row r="400" spans="1:10" x14ac:dyDescent="0.25">
      <c r="A400" s="2">
        <v>45865</v>
      </c>
      <c r="B400" t="s">
        <v>34</v>
      </c>
      <c r="C400" t="s">
        <v>35</v>
      </c>
      <c r="D400" t="s">
        <v>36</v>
      </c>
      <c r="H400">
        <v>240000</v>
      </c>
      <c r="I400">
        <v>240000</v>
      </c>
      <c r="J400" t="s">
        <v>144</v>
      </c>
    </row>
    <row r="401" spans="1:10" x14ac:dyDescent="0.25">
      <c r="A401" s="2">
        <v>45873</v>
      </c>
      <c r="B401" t="s">
        <v>34</v>
      </c>
      <c r="C401" t="s">
        <v>35</v>
      </c>
      <c r="D401" t="s">
        <v>36</v>
      </c>
      <c r="H401">
        <v>240000</v>
      </c>
      <c r="I401">
        <v>240000</v>
      </c>
      <c r="J401" t="s">
        <v>144</v>
      </c>
    </row>
    <row r="402" spans="1:10" x14ac:dyDescent="0.25">
      <c r="A402" s="2">
        <v>45881</v>
      </c>
      <c r="B402" t="s">
        <v>34</v>
      </c>
      <c r="C402" t="s">
        <v>35</v>
      </c>
      <c r="D402" t="s">
        <v>36</v>
      </c>
      <c r="H402">
        <v>240000</v>
      </c>
      <c r="I402">
        <v>240000</v>
      </c>
      <c r="J402" t="s">
        <v>144</v>
      </c>
    </row>
    <row r="403" spans="1:10" x14ac:dyDescent="0.25">
      <c r="A403" s="2">
        <v>45890</v>
      </c>
      <c r="B403" t="s">
        <v>34</v>
      </c>
      <c r="C403" t="s">
        <v>35</v>
      </c>
      <c r="D403" t="s">
        <v>36</v>
      </c>
      <c r="H403">
        <v>240000</v>
      </c>
      <c r="I403">
        <v>240000</v>
      </c>
      <c r="J403" t="s">
        <v>144</v>
      </c>
    </row>
    <row r="404" spans="1:10" x14ac:dyDescent="0.25">
      <c r="A404" s="2">
        <v>45898</v>
      </c>
      <c r="B404" t="s">
        <v>34</v>
      </c>
      <c r="C404" t="s">
        <v>35</v>
      </c>
      <c r="D404" t="s">
        <v>36</v>
      </c>
      <c r="H404">
        <v>240000</v>
      </c>
      <c r="I404">
        <v>240000</v>
      </c>
      <c r="J404" t="s">
        <v>144</v>
      </c>
    </row>
    <row r="405" spans="1:10" x14ac:dyDescent="0.25">
      <c r="A405" s="2">
        <v>45906</v>
      </c>
      <c r="B405" t="s">
        <v>34</v>
      </c>
      <c r="C405" t="s">
        <v>35</v>
      </c>
      <c r="D405" t="s">
        <v>36</v>
      </c>
      <c r="H405">
        <v>240000</v>
      </c>
      <c r="I405">
        <v>240000</v>
      </c>
      <c r="J405" t="s">
        <v>144</v>
      </c>
    </row>
    <row r="406" spans="1:10" x14ac:dyDescent="0.25">
      <c r="A406" s="2">
        <v>45915</v>
      </c>
      <c r="B406" t="s">
        <v>34</v>
      </c>
      <c r="C406" t="s">
        <v>35</v>
      </c>
      <c r="D406" t="s">
        <v>36</v>
      </c>
      <c r="H406">
        <v>240000</v>
      </c>
      <c r="I406">
        <v>240000</v>
      </c>
      <c r="J406" t="s">
        <v>144</v>
      </c>
    </row>
    <row r="407" spans="1:10" x14ac:dyDescent="0.25">
      <c r="A407" s="2">
        <v>45923</v>
      </c>
      <c r="B407" t="s">
        <v>34</v>
      </c>
      <c r="C407" t="s">
        <v>35</v>
      </c>
      <c r="D407" t="s">
        <v>36</v>
      </c>
      <c r="H407">
        <v>240000</v>
      </c>
      <c r="I407">
        <v>240000</v>
      </c>
      <c r="J407" t="s">
        <v>144</v>
      </c>
    </row>
    <row r="408" spans="1:10" x14ac:dyDescent="0.25">
      <c r="A408" s="2">
        <v>45931</v>
      </c>
      <c r="B408" t="s">
        <v>34</v>
      </c>
      <c r="C408" t="s">
        <v>35</v>
      </c>
      <c r="D408" t="s">
        <v>36</v>
      </c>
      <c r="H408">
        <v>240000</v>
      </c>
      <c r="I408">
        <v>240000</v>
      </c>
      <c r="J408" t="s">
        <v>144</v>
      </c>
    </row>
    <row r="409" spans="1:10" x14ac:dyDescent="0.25">
      <c r="A409" s="2">
        <v>45940</v>
      </c>
      <c r="B409" t="s">
        <v>34</v>
      </c>
      <c r="C409" t="s">
        <v>35</v>
      </c>
      <c r="D409" t="s">
        <v>36</v>
      </c>
      <c r="H409">
        <v>240000</v>
      </c>
      <c r="I409">
        <v>240000</v>
      </c>
      <c r="J409" t="s">
        <v>144</v>
      </c>
    </row>
    <row r="410" spans="1:10" x14ac:dyDescent="0.25">
      <c r="A410" s="2">
        <v>45948</v>
      </c>
      <c r="B410" t="s">
        <v>34</v>
      </c>
      <c r="C410" t="s">
        <v>35</v>
      </c>
      <c r="D410" t="s">
        <v>36</v>
      </c>
      <c r="H410">
        <v>240000</v>
      </c>
      <c r="I410">
        <v>240000</v>
      </c>
      <c r="J410" t="s">
        <v>144</v>
      </c>
    </row>
    <row r="411" spans="1:10" x14ac:dyDescent="0.25">
      <c r="A411" s="2">
        <v>45956</v>
      </c>
      <c r="B411" t="s">
        <v>34</v>
      </c>
      <c r="C411" t="s">
        <v>35</v>
      </c>
      <c r="D411" t="s">
        <v>36</v>
      </c>
      <c r="H411">
        <v>240000</v>
      </c>
      <c r="I411">
        <v>240000</v>
      </c>
      <c r="J411" t="s">
        <v>144</v>
      </c>
    </row>
    <row r="412" spans="1:10" x14ac:dyDescent="0.25">
      <c r="A412" s="2">
        <v>45964</v>
      </c>
      <c r="B412" t="s">
        <v>34</v>
      </c>
      <c r="C412" t="s">
        <v>35</v>
      </c>
      <c r="D412" t="s">
        <v>36</v>
      </c>
      <c r="H412">
        <v>240000</v>
      </c>
      <c r="I412">
        <v>240000</v>
      </c>
      <c r="J412" t="s">
        <v>144</v>
      </c>
    </row>
    <row r="413" spans="1:10" x14ac:dyDescent="0.25">
      <c r="A413" s="2">
        <v>45972</v>
      </c>
      <c r="B413" t="s">
        <v>34</v>
      </c>
      <c r="C413" t="s">
        <v>35</v>
      </c>
      <c r="D413" t="s">
        <v>36</v>
      </c>
      <c r="H413">
        <v>240000</v>
      </c>
      <c r="I413">
        <v>240000</v>
      </c>
      <c r="J413" t="s">
        <v>144</v>
      </c>
    </row>
    <row r="414" spans="1:10" x14ac:dyDescent="0.25">
      <c r="A414" s="2">
        <v>45980</v>
      </c>
      <c r="B414" t="s">
        <v>34</v>
      </c>
      <c r="C414" t="s">
        <v>35</v>
      </c>
      <c r="D414" t="s">
        <v>36</v>
      </c>
      <c r="H414">
        <v>240000</v>
      </c>
      <c r="I414">
        <v>240000</v>
      </c>
      <c r="J414" t="s">
        <v>144</v>
      </c>
    </row>
    <row r="415" spans="1:10" x14ac:dyDescent="0.25">
      <c r="A415" s="2">
        <v>45988</v>
      </c>
      <c r="B415" t="s">
        <v>34</v>
      </c>
      <c r="C415" t="s">
        <v>35</v>
      </c>
      <c r="D415" t="s">
        <v>36</v>
      </c>
      <c r="H415">
        <v>240000</v>
      </c>
      <c r="I415">
        <v>240000</v>
      </c>
      <c r="J415" t="s">
        <v>144</v>
      </c>
    </row>
    <row r="416" spans="1:10" x14ac:dyDescent="0.25">
      <c r="A416" s="2">
        <v>45996</v>
      </c>
      <c r="B416" t="s">
        <v>34</v>
      </c>
      <c r="C416" t="s">
        <v>35</v>
      </c>
      <c r="D416" t="s">
        <v>36</v>
      </c>
      <c r="H416">
        <v>240000</v>
      </c>
      <c r="I416">
        <v>240000</v>
      </c>
      <c r="J416" t="s">
        <v>144</v>
      </c>
    </row>
    <row r="417" spans="1:10" x14ac:dyDescent="0.25">
      <c r="A417" s="2">
        <v>46004</v>
      </c>
      <c r="B417" t="s">
        <v>34</v>
      </c>
      <c r="C417" t="s">
        <v>35</v>
      </c>
      <c r="D417" t="s">
        <v>36</v>
      </c>
      <c r="H417">
        <v>240000</v>
      </c>
      <c r="I417">
        <v>240000</v>
      </c>
      <c r="J417" t="s">
        <v>144</v>
      </c>
    </row>
    <row r="418" spans="1:10" x14ac:dyDescent="0.25">
      <c r="A418" s="2">
        <v>46013</v>
      </c>
      <c r="B418" t="s">
        <v>34</v>
      </c>
      <c r="C418" t="s">
        <v>35</v>
      </c>
      <c r="D418" t="s">
        <v>36</v>
      </c>
      <c r="H418">
        <v>240000</v>
      </c>
      <c r="I418">
        <v>240000</v>
      </c>
      <c r="J418" t="s">
        <v>144</v>
      </c>
    </row>
    <row r="419" spans="1:10" x14ac:dyDescent="0.25">
      <c r="A419" s="2">
        <v>46028</v>
      </c>
      <c r="B419" t="s">
        <v>34</v>
      </c>
      <c r="C419" t="s">
        <v>35</v>
      </c>
      <c r="D419" t="s">
        <v>36</v>
      </c>
      <c r="H419">
        <v>240000</v>
      </c>
      <c r="I419">
        <v>240000</v>
      </c>
      <c r="J419" t="s">
        <v>144</v>
      </c>
    </row>
    <row r="420" spans="1:10" x14ac:dyDescent="0.25">
      <c r="A420" s="2">
        <v>46036</v>
      </c>
      <c r="B420" t="s">
        <v>34</v>
      </c>
      <c r="C420" t="s">
        <v>35</v>
      </c>
      <c r="D420" t="s">
        <v>36</v>
      </c>
      <c r="H420">
        <v>240000</v>
      </c>
      <c r="I420">
        <v>240000</v>
      </c>
      <c r="J420" t="s">
        <v>144</v>
      </c>
    </row>
    <row r="421" spans="1:10" x14ac:dyDescent="0.25">
      <c r="A421" s="2">
        <v>46045</v>
      </c>
      <c r="B421" t="s">
        <v>34</v>
      </c>
      <c r="C421" t="s">
        <v>35</v>
      </c>
      <c r="D421" t="s">
        <v>36</v>
      </c>
      <c r="H421">
        <v>240000</v>
      </c>
      <c r="I421">
        <v>240000</v>
      </c>
      <c r="J421" t="s">
        <v>144</v>
      </c>
    </row>
    <row r="422" spans="1:10" x14ac:dyDescent="0.25">
      <c r="A422" s="2">
        <v>46054</v>
      </c>
      <c r="B422" t="s">
        <v>34</v>
      </c>
      <c r="C422" t="s">
        <v>35</v>
      </c>
      <c r="D422" t="s">
        <v>36</v>
      </c>
      <c r="H422">
        <v>240000</v>
      </c>
      <c r="I422">
        <v>240000</v>
      </c>
      <c r="J422" t="s">
        <v>144</v>
      </c>
    </row>
    <row r="423" spans="1:10" x14ac:dyDescent="0.25">
      <c r="A423" s="2">
        <v>46063</v>
      </c>
      <c r="B423" t="s">
        <v>34</v>
      </c>
      <c r="C423" t="s">
        <v>35</v>
      </c>
      <c r="D423" t="s">
        <v>36</v>
      </c>
      <c r="H423">
        <v>240000</v>
      </c>
      <c r="I423">
        <v>240000</v>
      </c>
      <c r="J423" t="s">
        <v>144</v>
      </c>
    </row>
    <row r="424" spans="1:10" x14ac:dyDescent="0.25">
      <c r="A424" s="2">
        <v>46071</v>
      </c>
      <c r="B424" t="s">
        <v>34</v>
      </c>
      <c r="C424" t="s">
        <v>35</v>
      </c>
      <c r="D424" t="s">
        <v>36</v>
      </c>
      <c r="H424">
        <v>240000</v>
      </c>
      <c r="I424">
        <v>240000</v>
      </c>
      <c r="J424" t="s">
        <v>144</v>
      </c>
    </row>
    <row r="425" spans="1:10" x14ac:dyDescent="0.25">
      <c r="A425" s="2">
        <v>46080</v>
      </c>
      <c r="B425" t="s">
        <v>34</v>
      </c>
      <c r="C425" t="s">
        <v>35</v>
      </c>
      <c r="D425" t="s">
        <v>36</v>
      </c>
      <c r="H425">
        <v>240000</v>
      </c>
      <c r="I425">
        <v>240000</v>
      </c>
      <c r="J425" t="s">
        <v>144</v>
      </c>
    </row>
    <row r="426" spans="1:10" x14ac:dyDescent="0.25">
      <c r="A426" s="2">
        <v>46089</v>
      </c>
      <c r="B426" t="s">
        <v>34</v>
      </c>
      <c r="C426" t="s">
        <v>35</v>
      </c>
      <c r="D426" t="s">
        <v>36</v>
      </c>
      <c r="H426">
        <v>240000</v>
      </c>
      <c r="I426">
        <v>240000</v>
      </c>
      <c r="J426" t="s">
        <v>144</v>
      </c>
    </row>
    <row r="427" spans="1:10" x14ac:dyDescent="0.25">
      <c r="A427" s="2">
        <v>46099</v>
      </c>
      <c r="B427" t="s">
        <v>34</v>
      </c>
      <c r="C427" t="s">
        <v>35</v>
      </c>
      <c r="D427" t="s">
        <v>36</v>
      </c>
      <c r="H427">
        <v>240000</v>
      </c>
      <c r="I427">
        <v>240000</v>
      </c>
      <c r="J427" t="s">
        <v>144</v>
      </c>
    </row>
    <row r="428" spans="1:10" x14ac:dyDescent="0.25">
      <c r="A428" s="2">
        <v>46107</v>
      </c>
      <c r="B428" t="s">
        <v>34</v>
      </c>
      <c r="C428" t="s">
        <v>35</v>
      </c>
      <c r="D428" t="s">
        <v>36</v>
      </c>
      <c r="H428">
        <v>240000</v>
      </c>
      <c r="I428">
        <v>240000</v>
      </c>
      <c r="J428" t="s">
        <v>144</v>
      </c>
    </row>
    <row r="429" spans="1:10" x14ac:dyDescent="0.25">
      <c r="A429" s="2">
        <v>46118</v>
      </c>
      <c r="B429" t="s">
        <v>34</v>
      </c>
      <c r="C429" t="s">
        <v>35</v>
      </c>
      <c r="D429" t="s">
        <v>36</v>
      </c>
      <c r="H429">
        <v>240000</v>
      </c>
      <c r="I429">
        <v>240000</v>
      </c>
      <c r="J429" t="s">
        <v>144</v>
      </c>
    </row>
    <row r="430" spans="1:10" x14ac:dyDescent="0.25">
      <c r="A430" s="2">
        <v>46126</v>
      </c>
      <c r="B430" t="s">
        <v>34</v>
      </c>
      <c r="C430" t="s">
        <v>35</v>
      </c>
      <c r="D430" t="s">
        <v>36</v>
      </c>
      <c r="H430">
        <v>240000</v>
      </c>
      <c r="I430">
        <v>240000</v>
      </c>
      <c r="J430" t="s">
        <v>144</v>
      </c>
    </row>
    <row r="431" spans="1:10" x14ac:dyDescent="0.25">
      <c r="A431" s="2">
        <v>46135</v>
      </c>
      <c r="B431" t="s">
        <v>34</v>
      </c>
      <c r="C431" t="s">
        <v>35</v>
      </c>
      <c r="D431" t="s">
        <v>36</v>
      </c>
      <c r="H431">
        <v>240000</v>
      </c>
      <c r="I431">
        <v>240000</v>
      </c>
      <c r="J431" t="s">
        <v>144</v>
      </c>
    </row>
    <row r="432" spans="1:10" x14ac:dyDescent="0.25">
      <c r="A432" s="2">
        <v>46144</v>
      </c>
      <c r="B432" t="s">
        <v>34</v>
      </c>
      <c r="C432" t="s">
        <v>35</v>
      </c>
      <c r="D432" t="s">
        <v>36</v>
      </c>
      <c r="H432">
        <v>240000</v>
      </c>
      <c r="I432">
        <v>240000</v>
      </c>
      <c r="J432" t="s">
        <v>144</v>
      </c>
    </row>
    <row r="433" spans="1:10" x14ac:dyDescent="0.25">
      <c r="A433" s="2">
        <v>46152</v>
      </c>
      <c r="B433" t="s">
        <v>34</v>
      </c>
      <c r="C433" t="s">
        <v>35</v>
      </c>
      <c r="D433" t="s">
        <v>36</v>
      </c>
      <c r="H433">
        <v>240000</v>
      </c>
      <c r="I433">
        <v>240000</v>
      </c>
      <c r="J433" t="s">
        <v>144</v>
      </c>
    </row>
    <row r="434" spans="1:10" x14ac:dyDescent="0.25">
      <c r="A434" s="2">
        <v>46160</v>
      </c>
      <c r="B434" t="s">
        <v>34</v>
      </c>
      <c r="C434" t="s">
        <v>35</v>
      </c>
      <c r="D434" t="s">
        <v>36</v>
      </c>
      <c r="H434">
        <v>240000</v>
      </c>
      <c r="I434">
        <v>240000</v>
      </c>
      <c r="J434" t="s">
        <v>144</v>
      </c>
    </row>
    <row r="435" spans="1:10" x14ac:dyDescent="0.25">
      <c r="A435" s="2">
        <v>46168</v>
      </c>
      <c r="B435" t="s">
        <v>34</v>
      </c>
      <c r="C435" t="s">
        <v>35</v>
      </c>
      <c r="D435" t="s">
        <v>36</v>
      </c>
      <c r="H435">
        <v>240000</v>
      </c>
      <c r="I435">
        <v>240000</v>
      </c>
      <c r="J435" t="s">
        <v>144</v>
      </c>
    </row>
    <row r="436" spans="1:10" x14ac:dyDescent="0.25">
      <c r="A436" s="2">
        <v>46176</v>
      </c>
      <c r="B436" t="s">
        <v>34</v>
      </c>
      <c r="C436" t="s">
        <v>35</v>
      </c>
      <c r="D436" t="s">
        <v>36</v>
      </c>
      <c r="H436">
        <v>240000</v>
      </c>
      <c r="I436">
        <v>240000</v>
      </c>
      <c r="J436" t="s">
        <v>144</v>
      </c>
    </row>
    <row r="437" spans="1:10" x14ac:dyDescent="0.25">
      <c r="A437" s="2">
        <v>46185</v>
      </c>
      <c r="B437" t="s">
        <v>34</v>
      </c>
      <c r="C437" t="s">
        <v>35</v>
      </c>
      <c r="D437" t="s">
        <v>36</v>
      </c>
      <c r="H437">
        <v>240000</v>
      </c>
      <c r="I437">
        <v>240000</v>
      </c>
      <c r="J437" t="s">
        <v>144</v>
      </c>
    </row>
    <row r="438" spans="1:10" x14ac:dyDescent="0.25">
      <c r="A438" s="2">
        <v>46194</v>
      </c>
      <c r="B438" t="s">
        <v>34</v>
      </c>
      <c r="C438" t="s">
        <v>35</v>
      </c>
      <c r="D438" t="s">
        <v>36</v>
      </c>
      <c r="H438">
        <v>240000</v>
      </c>
      <c r="I438">
        <v>240000</v>
      </c>
      <c r="J438" t="s">
        <v>144</v>
      </c>
    </row>
    <row r="439" spans="1:10" x14ac:dyDescent="0.25">
      <c r="A439" s="2">
        <v>46203</v>
      </c>
      <c r="B439" t="s">
        <v>34</v>
      </c>
      <c r="C439" t="s">
        <v>35</v>
      </c>
      <c r="D439" t="s">
        <v>36</v>
      </c>
      <c r="H439">
        <v>240000</v>
      </c>
      <c r="I439">
        <v>240000</v>
      </c>
      <c r="J439" t="s">
        <v>144</v>
      </c>
    </row>
    <row r="440" spans="1:10" x14ac:dyDescent="0.25">
      <c r="A440" s="2">
        <v>46211</v>
      </c>
      <c r="B440" t="s">
        <v>34</v>
      </c>
      <c r="C440" t="s">
        <v>35</v>
      </c>
      <c r="D440" t="s">
        <v>36</v>
      </c>
      <c r="H440">
        <v>240000</v>
      </c>
      <c r="I440">
        <v>240000</v>
      </c>
      <c r="J440" t="s">
        <v>144</v>
      </c>
    </row>
    <row r="441" spans="1:10" x14ac:dyDescent="0.25">
      <c r="A441" s="2">
        <v>46220</v>
      </c>
      <c r="B441" t="s">
        <v>34</v>
      </c>
      <c r="C441" t="s">
        <v>35</v>
      </c>
      <c r="D441" t="s">
        <v>36</v>
      </c>
      <c r="H441">
        <v>240000</v>
      </c>
      <c r="I441">
        <v>240000</v>
      </c>
      <c r="J441" t="s">
        <v>144</v>
      </c>
    </row>
    <row r="442" spans="1:10" hidden="1" x14ac:dyDescent="0.25">
      <c r="A442" s="2">
        <v>45792</v>
      </c>
      <c r="B442" t="s">
        <v>38</v>
      </c>
      <c r="C442" t="s">
        <v>39</v>
      </c>
      <c r="D442" t="s">
        <v>40</v>
      </c>
      <c r="H442">
        <v>240000</v>
      </c>
      <c r="I442">
        <v>240000</v>
      </c>
      <c r="J442" t="s">
        <v>144</v>
      </c>
    </row>
    <row r="443" spans="1:10" hidden="1" x14ac:dyDescent="0.25">
      <c r="A443" s="2">
        <v>45799</v>
      </c>
      <c r="B443" t="s">
        <v>38</v>
      </c>
      <c r="C443" t="s">
        <v>39</v>
      </c>
      <c r="D443" t="s">
        <v>40</v>
      </c>
      <c r="H443">
        <v>240000</v>
      </c>
      <c r="I443">
        <v>240000</v>
      </c>
      <c r="J443" t="s">
        <v>144</v>
      </c>
    </row>
    <row r="444" spans="1:10" hidden="1" x14ac:dyDescent="0.25">
      <c r="A444" s="2">
        <v>45806</v>
      </c>
      <c r="B444" t="s">
        <v>38</v>
      </c>
      <c r="C444" t="s">
        <v>39</v>
      </c>
      <c r="D444" t="s">
        <v>40</v>
      </c>
      <c r="H444">
        <v>240000</v>
      </c>
      <c r="I444">
        <v>240000</v>
      </c>
      <c r="J444" t="s">
        <v>144</v>
      </c>
    </row>
    <row r="445" spans="1:10" hidden="1" x14ac:dyDescent="0.25">
      <c r="A445" s="2">
        <v>45813</v>
      </c>
      <c r="B445" t="s">
        <v>38</v>
      </c>
      <c r="C445" t="s">
        <v>39</v>
      </c>
      <c r="D445" t="s">
        <v>40</v>
      </c>
      <c r="H445">
        <v>240000</v>
      </c>
      <c r="I445">
        <v>240000</v>
      </c>
      <c r="J445" t="s">
        <v>144</v>
      </c>
    </row>
    <row r="446" spans="1:10" hidden="1" x14ac:dyDescent="0.25">
      <c r="A446" s="2">
        <v>45820</v>
      </c>
      <c r="B446" t="s">
        <v>38</v>
      </c>
      <c r="C446" t="s">
        <v>39</v>
      </c>
      <c r="D446" t="s">
        <v>40</v>
      </c>
      <c r="H446">
        <v>240000</v>
      </c>
      <c r="I446">
        <v>240000</v>
      </c>
      <c r="J446" t="s">
        <v>144</v>
      </c>
    </row>
    <row r="447" spans="1:10" hidden="1" x14ac:dyDescent="0.25">
      <c r="A447" s="2">
        <v>45828</v>
      </c>
      <c r="B447" t="s">
        <v>38</v>
      </c>
      <c r="C447" t="s">
        <v>39</v>
      </c>
      <c r="D447" t="s">
        <v>40</v>
      </c>
      <c r="H447">
        <v>240000</v>
      </c>
      <c r="I447">
        <v>240000</v>
      </c>
      <c r="J447" t="s">
        <v>144</v>
      </c>
    </row>
    <row r="448" spans="1:10" hidden="1" x14ac:dyDescent="0.25">
      <c r="A448" s="2">
        <v>45835</v>
      </c>
      <c r="B448" t="s">
        <v>38</v>
      </c>
      <c r="C448" t="s">
        <v>39</v>
      </c>
      <c r="D448" t="s">
        <v>40</v>
      </c>
      <c r="H448">
        <v>240000</v>
      </c>
      <c r="I448">
        <v>240000</v>
      </c>
      <c r="J448" t="s">
        <v>144</v>
      </c>
    </row>
    <row r="449" spans="1:10" hidden="1" x14ac:dyDescent="0.25">
      <c r="A449" s="2">
        <v>45842</v>
      </c>
      <c r="B449" t="s">
        <v>38</v>
      </c>
      <c r="C449" t="s">
        <v>39</v>
      </c>
      <c r="D449" t="s">
        <v>40</v>
      </c>
      <c r="H449">
        <v>240000</v>
      </c>
      <c r="I449">
        <v>240000</v>
      </c>
      <c r="J449" t="s">
        <v>144</v>
      </c>
    </row>
    <row r="450" spans="1:10" hidden="1" x14ac:dyDescent="0.25">
      <c r="A450" s="2">
        <v>45849</v>
      </c>
      <c r="B450" t="s">
        <v>38</v>
      </c>
      <c r="C450" t="s">
        <v>39</v>
      </c>
      <c r="D450" t="s">
        <v>40</v>
      </c>
      <c r="H450">
        <v>240000</v>
      </c>
      <c r="I450">
        <v>240000</v>
      </c>
      <c r="J450" t="s">
        <v>144</v>
      </c>
    </row>
    <row r="451" spans="1:10" hidden="1" x14ac:dyDescent="0.25">
      <c r="A451" s="2">
        <v>45856</v>
      </c>
      <c r="B451" t="s">
        <v>38</v>
      </c>
      <c r="C451" t="s">
        <v>39</v>
      </c>
      <c r="D451" t="s">
        <v>40</v>
      </c>
      <c r="H451">
        <v>240000</v>
      </c>
      <c r="I451">
        <v>240000</v>
      </c>
      <c r="J451" t="s">
        <v>144</v>
      </c>
    </row>
    <row r="452" spans="1:10" hidden="1" x14ac:dyDescent="0.25">
      <c r="A452" s="2">
        <v>45863</v>
      </c>
      <c r="B452" t="s">
        <v>38</v>
      </c>
      <c r="C452" t="s">
        <v>39</v>
      </c>
      <c r="D452" t="s">
        <v>40</v>
      </c>
      <c r="H452">
        <v>240000</v>
      </c>
      <c r="I452">
        <v>240000</v>
      </c>
      <c r="J452" t="s">
        <v>144</v>
      </c>
    </row>
    <row r="453" spans="1:10" hidden="1" x14ac:dyDescent="0.25">
      <c r="A453" s="2">
        <v>45870</v>
      </c>
      <c r="B453" t="s">
        <v>38</v>
      </c>
      <c r="C453" t="s">
        <v>39</v>
      </c>
      <c r="D453" t="s">
        <v>40</v>
      </c>
      <c r="H453">
        <v>240000</v>
      </c>
      <c r="I453">
        <v>240000</v>
      </c>
      <c r="J453" t="s">
        <v>144</v>
      </c>
    </row>
    <row r="454" spans="1:10" hidden="1" x14ac:dyDescent="0.25">
      <c r="A454" s="2">
        <v>45878</v>
      </c>
      <c r="B454" t="s">
        <v>38</v>
      </c>
      <c r="C454" t="s">
        <v>39</v>
      </c>
      <c r="D454" t="s">
        <v>40</v>
      </c>
      <c r="H454">
        <v>240000</v>
      </c>
      <c r="I454">
        <v>240000</v>
      </c>
      <c r="J454" t="s">
        <v>144</v>
      </c>
    </row>
    <row r="455" spans="1:10" hidden="1" x14ac:dyDescent="0.25">
      <c r="A455" s="2">
        <v>45885</v>
      </c>
      <c r="B455" t="s">
        <v>38</v>
      </c>
      <c r="C455" t="s">
        <v>39</v>
      </c>
      <c r="D455" t="s">
        <v>40</v>
      </c>
      <c r="H455">
        <v>240000</v>
      </c>
      <c r="I455">
        <v>240000</v>
      </c>
      <c r="J455" t="s">
        <v>144</v>
      </c>
    </row>
    <row r="456" spans="1:10" hidden="1" x14ac:dyDescent="0.25">
      <c r="A456" s="2">
        <v>45892</v>
      </c>
      <c r="B456" t="s">
        <v>38</v>
      </c>
      <c r="C456" t="s">
        <v>39</v>
      </c>
      <c r="D456" t="s">
        <v>40</v>
      </c>
      <c r="H456">
        <v>240000</v>
      </c>
      <c r="I456">
        <v>240000</v>
      </c>
      <c r="J456" t="s">
        <v>144</v>
      </c>
    </row>
    <row r="457" spans="1:10" hidden="1" x14ac:dyDescent="0.25">
      <c r="A457" s="2">
        <v>45900</v>
      </c>
      <c r="B457" t="s">
        <v>38</v>
      </c>
      <c r="C457" t="s">
        <v>39</v>
      </c>
      <c r="D457" t="s">
        <v>40</v>
      </c>
      <c r="H457">
        <v>240000</v>
      </c>
      <c r="I457">
        <v>240000</v>
      </c>
      <c r="J457" t="s">
        <v>144</v>
      </c>
    </row>
    <row r="458" spans="1:10" hidden="1" x14ac:dyDescent="0.25">
      <c r="A458" s="2">
        <v>45907</v>
      </c>
      <c r="B458" t="s">
        <v>38</v>
      </c>
      <c r="C458" t="s">
        <v>39</v>
      </c>
      <c r="D458" t="s">
        <v>40</v>
      </c>
      <c r="H458">
        <v>240000</v>
      </c>
      <c r="I458">
        <v>240000</v>
      </c>
      <c r="J458" t="s">
        <v>144</v>
      </c>
    </row>
    <row r="459" spans="1:10" hidden="1" x14ac:dyDescent="0.25">
      <c r="A459" s="2">
        <v>45914</v>
      </c>
      <c r="B459" t="s">
        <v>38</v>
      </c>
      <c r="C459" t="s">
        <v>39</v>
      </c>
      <c r="D459" t="s">
        <v>40</v>
      </c>
      <c r="H459">
        <v>240000</v>
      </c>
      <c r="I459">
        <v>240000</v>
      </c>
      <c r="J459" t="s">
        <v>144</v>
      </c>
    </row>
    <row r="460" spans="1:10" hidden="1" x14ac:dyDescent="0.25">
      <c r="A460" s="2">
        <v>45921</v>
      </c>
      <c r="B460" t="s">
        <v>38</v>
      </c>
      <c r="C460" t="s">
        <v>39</v>
      </c>
      <c r="D460" t="s">
        <v>40</v>
      </c>
      <c r="H460">
        <v>240000</v>
      </c>
      <c r="I460">
        <v>240000</v>
      </c>
      <c r="J460" t="s">
        <v>144</v>
      </c>
    </row>
    <row r="461" spans="1:10" hidden="1" x14ac:dyDescent="0.25">
      <c r="A461" s="2">
        <v>45927</v>
      </c>
      <c r="B461" t="s">
        <v>38</v>
      </c>
      <c r="C461" t="s">
        <v>39</v>
      </c>
      <c r="D461" t="s">
        <v>40</v>
      </c>
      <c r="H461">
        <v>240000</v>
      </c>
      <c r="I461">
        <v>240000</v>
      </c>
      <c r="J461" t="s">
        <v>144</v>
      </c>
    </row>
    <row r="462" spans="1:10" hidden="1" x14ac:dyDescent="0.25">
      <c r="A462" s="2">
        <v>45934</v>
      </c>
      <c r="B462" t="s">
        <v>38</v>
      </c>
      <c r="C462" t="s">
        <v>39</v>
      </c>
      <c r="D462" t="s">
        <v>40</v>
      </c>
      <c r="H462">
        <v>240000</v>
      </c>
      <c r="I462">
        <v>240000</v>
      </c>
      <c r="J462" t="s">
        <v>144</v>
      </c>
    </row>
    <row r="463" spans="1:10" hidden="1" x14ac:dyDescent="0.25">
      <c r="A463" s="2">
        <v>45941</v>
      </c>
      <c r="B463" t="s">
        <v>38</v>
      </c>
      <c r="C463" t="s">
        <v>39</v>
      </c>
      <c r="D463" t="s">
        <v>40</v>
      </c>
      <c r="H463">
        <v>240000</v>
      </c>
      <c r="I463">
        <v>240000</v>
      </c>
      <c r="J463" t="s">
        <v>144</v>
      </c>
    </row>
    <row r="464" spans="1:10" hidden="1" x14ac:dyDescent="0.25">
      <c r="A464" s="2">
        <v>45948</v>
      </c>
      <c r="B464" t="s">
        <v>38</v>
      </c>
      <c r="C464" t="s">
        <v>39</v>
      </c>
      <c r="D464" t="s">
        <v>40</v>
      </c>
      <c r="H464">
        <v>240000</v>
      </c>
      <c r="I464">
        <v>240000</v>
      </c>
      <c r="J464" t="s">
        <v>144</v>
      </c>
    </row>
    <row r="465" spans="1:10" hidden="1" x14ac:dyDescent="0.25">
      <c r="A465" s="2">
        <v>45955</v>
      </c>
      <c r="B465" t="s">
        <v>38</v>
      </c>
      <c r="C465" t="s">
        <v>39</v>
      </c>
      <c r="D465" t="s">
        <v>40</v>
      </c>
      <c r="H465">
        <v>240000</v>
      </c>
      <c r="I465">
        <v>240000</v>
      </c>
      <c r="J465" t="s">
        <v>144</v>
      </c>
    </row>
    <row r="466" spans="1:10" hidden="1" x14ac:dyDescent="0.25">
      <c r="A466" s="2">
        <v>45962</v>
      </c>
      <c r="B466" t="s">
        <v>38</v>
      </c>
      <c r="C466" t="s">
        <v>39</v>
      </c>
      <c r="D466" t="s">
        <v>40</v>
      </c>
      <c r="H466">
        <v>240000</v>
      </c>
      <c r="I466">
        <v>240000</v>
      </c>
      <c r="J466" t="s">
        <v>144</v>
      </c>
    </row>
    <row r="467" spans="1:10" hidden="1" x14ac:dyDescent="0.25">
      <c r="A467" s="2">
        <v>45970</v>
      </c>
      <c r="B467" t="s">
        <v>38</v>
      </c>
      <c r="C467" t="s">
        <v>39</v>
      </c>
      <c r="D467" t="s">
        <v>40</v>
      </c>
      <c r="H467">
        <v>240000</v>
      </c>
      <c r="I467">
        <v>240000</v>
      </c>
      <c r="J467" t="s">
        <v>144</v>
      </c>
    </row>
    <row r="468" spans="1:10" hidden="1" x14ac:dyDescent="0.25">
      <c r="A468" s="2">
        <v>45981</v>
      </c>
      <c r="B468" t="s">
        <v>38</v>
      </c>
      <c r="C468" t="s">
        <v>39</v>
      </c>
      <c r="D468" t="s">
        <v>40</v>
      </c>
      <c r="H468">
        <v>240000</v>
      </c>
      <c r="I468">
        <v>240000</v>
      </c>
      <c r="J468" t="s">
        <v>144</v>
      </c>
    </row>
    <row r="469" spans="1:10" hidden="1" x14ac:dyDescent="0.25">
      <c r="A469" s="2">
        <v>45989</v>
      </c>
      <c r="B469" t="s">
        <v>38</v>
      </c>
      <c r="C469" t="s">
        <v>39</v>
      </c>
      <c r="D469" t="s">
        <v>40</v>
      </c>
      <c r="H469">
        <v>240000</v>
      </c>
      <c r="I469">
        <v>240000</v>
      </c>
      <c r="J469" t="s">
        <v>144</v>
      </c>
    </row>
    <row r="470" spans="1:10" hidden="1" x14ac:dyDescent="0.25">
      <c r="A470" s="2">
        <v>45995</v>
      </c>
      <c r="B470" t="s">
        <v>38</v>
      </c>
      <c r="C470" t="s">
        <v>39</v>
      </c>
      <c r="D470" t="s">
        <v>40</v>
      </c>
      <c r="H470">
        <v>240000</v>
      </c>
      <c r="I470">
        <v>240000</v>
      </c>
      <c r="J470" t="s">
        <v>144</v>
      </c>
    </row>
    <row r="471" spans="1:10" hidden="1" x14ac:dyDescent="0.25">
      <c r="A471" s="2">
        <v>46002</v>
      </c>
      <c r="B471" t="s">
        <v>38</v>
      </c>
      <c r="C471" t="s">
        <v>39</v>
      </c>
      <c r="D471" t="s">
        <v>40</v>
      </c>
      <c r="H471">
        <v>240000</v>
      </c>
      <c r="I471">
        <v>240000</v>
      </c>
      <c r="J471" t="s">
        <v>144</v>
      </c>
    </row>
    <row r="472" spans="1:10" hidden="1" x14ac:dyDescent="0.25">
      <c r="A472" s="2">
        <v>46009</v>
      </c>
      <c r="B472" t="s">
        <v>38</v>
      </c>
      <c r="C472" t="s">
        <v>39</v>
      </c>
      <c r="D472" t="s">
        <v>40</v>
      </c>
      <c r="H472">
        <v>240000</v>
      </c>
      <c r="I472">
        <v>240000</v>
      </c>
      <c r="J472" t="s">
        <v>144</v>
      </c>
    </row>
    <row r="473" spans="1:10" hidden="1" x14ac:dyDescent="0.25">
      <c r="A473" s="2">
        <v>46018</v>
      </c>
      <c r="B473" t="s">
        <v>38</v>
      </c>
      <c r="C473" t="s">
        <v>39</v>
      </c>
      <c r="D473" t="s">
        <v>40</v>
      </c>
      <c r="H473">
        <v>240000</v>
      </c>
      <c r="I473">
        <v>240000</v>
      </c>
      <c r="J473" t="s">
        <v>144</v>
      </c>
    </row>
    <row r="474" spans="1:10" hidden="1" x14ac:dyDescent="0.25">
      <c r="A474" s="2">
        <v>46037</v>
      </c>
      <c r="B474" t="s">
        <v>38</v>
      </c>
      <c r="C474" t="s">
        <v>39</v>
      </c>
      <c r="D474" t="s">
        <v>40</v>
      </c>
      <c r="H474">
        <v>240000</v>
      </c>
      <c r="I474">
        <v>240000</v>
      </c>
      <c r="J474" t="s">
        <v>144</v>
      </c>
    </row>
    <row r="475" spans="1:10" hidden="1" x14ac:dyDescent="0.25">
      <c r="A475" s="2">
        <v>46045</v>
      </c>
      <c r="B475" t="s">
        <v>38</v>
      </c>
      <c r="C475" t="s">
        <v>39</v>
      </c>
      <c r="D475" t="s">
        <v>40</v>
      </c>
      <c r="H475">
        <v>240000</v>
      </c>
      <c r="I475">
        <v>240000</v>
      </c>
      <c r="J475" t="s">
        <v>144</v>
      </c>
    </row>
    <row r="476" spans="1:10" hidden="1" x14ac:dyDescent="0.25">
      <c r="A476" s="2">
        <v>46052</v>
      </c>
      <c r="B476" t="s">
        <v>38</v>
      </c>
      <c r="C476" t="s">
        <v>39</v>
      </c>
      <c r="D476" t="s">
        <v>40</v>
      </c>
      <c r="H476">
        <v>240000</v>
      </c>
      <c r="I476">
        <v>240000</v>
      </c>
      <c r="J476" t="s">
        <v>144</v>
      </c>
    </row>
    <row r="477" spans="1:10" hidden="1" x14ac:dyDescent="0.25">
      <c r="A477" s="2">
        <v>46061</v>
      </c>
      <c r="B477" t="s">
        <v>38</v>
      </c>
      <c r="C477" t="s">
        <v>39</v>
      </c>
      <c r="D477" t="s">
        <v>40</v>
      </c>
      <c r="H477">
        <v>240000</v>
      </c>
      <c r="I477">
        <v>240000</v>
      </c>
      <c r="J477" t="s">
        <v>144</v>
      </c>
    </row>
    <row r="478" spans="1:10" hidden="1" x14ac:dyDescent="0.25">
      <c r="A478" s="2">
        <v>46071</v>
      </c>
      <c r="B478" t="s">
        <v>38</v>
      </c>
      <c r="C478" t="s">
        <v>39</v>
      </c>
      <c r="D478" t="s">
        <v>40</v>
      </c>
      <c r="H478">
        <v>240000</v>
      </c>
      <c r="I478">
        <v>240000</v>
      </c>
      <c r="J478" t="s">
        <v>144</v>
      </c>
    </row>
    <row r="479" spans="1:10" hidden="1" x14ac:dyDescent="0.25">
      <c r="A479" s="2">
        <v>46078</v>
      </c>
      <c r="B479" t="s">
        <v>38</v>
      </c>
      <c r="C479" t="s">
        <v>39</v>
      </c>
      <c r="D479" t="s">
        <v>40</v>
      </c>
      <c r="H479">
        <v>240000</v>
      </c>
      <c r="I479">
        <v>240000</v>
      </c>
      <c r="J479" t="s">
        <v>144</v>
      </c>
    </row>
    <row r="480" spans="1:10" hidden="1" x14ac:dyDescent="0.25">
      <c r="A480" s="2">
        <v>46085</v>
      </c>
      <c r="B480" t="s">
        <v>38</v>
      </c>
      <c r="C480" t="s">
        <v>39</v>
      </c>
      <c r="D480" t="s">
        <v>40</v>
      </c>
      <c r="H480">
        <v>240000</v>
      </c>
      <c r="I480">
        <v>240000</v>
      </c>
      <c r="J480" t="s">
        <v>144</v>
      </c>
    </row>
    <row r="481" spans="1:10" hidden="1" x14ac:dyDescent="0.25">
      <c r="A481" s="2">
        <v>46092</v>
      </c>
      <c r="B481" t="s">
        <v>38</v>
      </c>
      <c r="C481" t="s">
        <v>39</v>
      </c>
      <c r="D481" t="s">
        <v>40</v>
      </c>
      <c r="H481">
        <v>240000</v>
      </c>
      <c r="I481">
        <v>240000</v>
      </c>
      <c r="J481" t="s">
        <v>144</v>
      </c>
    </row>
    <row r="482" spans="1:10" hidden="1" x14ac:dyDescent="0.25">
      <c r="A482" s="2">
        <v>46099</v>
      </c>
      <c r="B482" t="s">
        <v>38</v>
      </c>
      <c r="C482" t="s">
        <v>39</v>
      </c>
      <c r="D482" t="s">
        <v>40</v>
      </c>
      <c r="H482">
        <v>240000</v>
      </c>
      <c r="I482">
        <v>240000</v>
      </c>
      <c r="J482" t="s">
        <v>144</v>
      </c>
    </row>
    <row r="483" spans="1:10" hidden="1" x14ac:dyDescent="0.25">
      <c r="A483" s="2">
        <v>46106</v>
      </c>
      <c r="B483" t="s">
        <v>38</v>
      </c>
      <c r="C483" t="s">
        <v>39</v>
      </c>
      <c r="D483" t="s">
        <v>40</v>
      </c>
      <c r="H483">
        <v>240000</v>
      </c>
      <c r="I483">
        <v>240000</v>
      </c>
      <c r="J483" t="s">
        <v>144</v>
      </c>
    </row>
    <row r="484" spans="1:10" hidden="1" x14ac:dyDescent="0.25">
      <c r="A484" s="2">
        <v>46113</v>
      </c>
      <c r="B484" t="s">
        <v>38</v>
      </c>
      <c r="C484" t="s">
        <v>39</v>
      </c>
      <c r="D484" t="s">
        <v>40</v>
      </c>
      <c r="H484">
        <v>240000</v>
      </c>
      <c r="I484">
        <v>240000</v>
      </c>
      <c r="J484" t="s">
        <v>144</v>
      </c>
    </row>
    <row r="485" spans="1:10" hidden="1" x14ac:dyDescent="0.25">
      <c r="A485" s="2">
        <v>46123</v>
      </c>
      <c r="B485" t="s">
        <v>38</v>
      </c>
      <c r="C485" t="s">
        <v>39</v>
      </c>
      <c r="D485" t="s">
        <v>40</v>
      </c>
      <c r="H485">
        <v>240000</v>
      </c>
      <c r="I485">
        <v>240000</v>
      </c>
      <c r="J485" t="s">
        <v>144</v>
      </c>
    </row>
    <row r="486" spans="1:10" hidden="1" x14ac:dyDescent="0.25">
      <c r="A486" s="2">
        <v>46130</v>
      </c>
      <c r="B486" t="s">
        <v>38</v>
      </c>
      <c r="C486" t="s">
        <v>39</v>
      </c>
      <c r="D486" t="s">
        <v>40</v>
      </c>
      <c r="H486">
        <v>240000</v>
      </c>
      <c r="I486">
        <v>240000</v>
      </c>
      <c r="J486" t="s">
        <v>144</v>
      </c>
    </row>
    <row r="487" spans="1:10" hidden="1" x14ac:dyDescent="0.25">
      <c r="A487" s="2">
        <v>46138</v>
      </c>
      <c r="B487" t="s">
        <v>38</v>
      </c>
      <c r="C487" t="s">
        <v>39</v>
      </c>
      <c r="D487" t="s">
        <v>40</v>
      </c>
      <c r="H487">
        <v>240000</v>
      </c>
      <c r="I487">
        <v>240000</v>
      </c>
      <c r="J487" t="s">
        <v>144</v>
      </c>
    </row>
    <row r="488" spans="1:10" hidden="1" x14ac:dyDescent="0.25">
      <c r="A488" s="2">
        <v>46145</v>
      </c>
      <c r="B488" t="s">
        <v>38</v>
      </c>
      <c r="C488" t="s">
        <v>39</v>
      </c>
      <c r="D488" t="s">
        <v>40</v>
      </c>
      <c r="H488">
        <v>240000</v>
      </c>
      <c r="I488">
        <v>240000</v>
      </c>
      <c r="J488" t="s">
        <v>144</v>
      </c>
    </row>
    <row r="489" spans="1:10" hidden="1" x14ac:dyDescent="0.25">
      <c r="A489" s="2">
        <v>46152</v>
      </c>
      <c r="B489" t="s">
        <v>38</v>
      </c>
      <c r="C489" t="s">
        <v>39</v>
      </c>
      <c r="D489" t="s">
        <v>40</v>
      </c>
      <c r="H489">
        <v>240000</v>
      </c>
      <c r="I489">
        <v>240000</v>
      </c>
      <c r="J489" t="s">
        <v>144</v>
      </c>
    </row>
    <row r="490" spans="1:10" hidden="1" x14ac:dyDescent="0.25">
      <c r="A490" s="2">
        <v>46163</v>
      </c>
      <c r="B490" t="s">
        <v>38</v>
      </c>
      <c r="C490" t="s">
        <v>39</v>
      </c>
      <c r="D490" t="s">
        <v>40</v>
      </c>
      <c r="H490">
        <v>240000</v>
      </c>
      <c r="I490">
        <v>240000</v>
      </c>
      <c r="J490" t="s">
        <v>144</v>
      </c>
    </row>
    <row r="491" spans="1:10" hidden="1" x14ac:dyDescent="0.25">
      <c r="A491" s="2">
        <v>46171</v>
      </c>
      <c r="B491" t="s">
        <v>38</v>
      </c>
      <c r="C491" t="s">
        <v>39</v>
      </c>
      <c r="D491" t="s">
        <v>40</v>
      </c>
      <c r="H491">
        <v>240000</v>
      </c>
      <c r="I491">
        <v>240000</v>
      </c>
      <c r="J491" t="s">
        <v>144</v>
      </c>
    </row>
    <row r="492" spans="1:10" hidden="1" x14ac:dyDescent="0.25">
      <c r="A492" s="2">
        <v>46178</v>
      </c>
      <c r="B492" t="s">
        <v>38</v>
      </c>
      <c r="C492" t="s">
        <v>39</v>
      </c>
      <c r="D492" t="s">
        <v>40</v>
      </c>
      <c r="H492">
        <v>240000</v>
      </c>
      <c r="I492">
        <v>240000</v>
      </c>
      <c r="J492" t="s">
        <v>144</v>
      </c>
    </row>
    <row r="493" spans="1:10" hidden="1" x14ac:dyDescent="0.25">
      <c r="A493" s="2">
        <v>46186</v>
      </c>
      <c r="B493" t="s">
        <v>38</v>
      </c>
      <c r="C493" t="s">
        <v>39</v>
      </c>
      <c r="D493" t="s">
        <v>40</v>
      </c>
      <c r="H493">
        <v>240000</v>
      </c>
      <c r="I493">
        <v>240000</v>
      </c>
      <c r="J493" t="s">
        <v>144</v>
      </c>
    </row>
    <row r="494" spans="1:10" hidden="1" x14ac:dyDescent="0.25">
      <c r="A494" s="2">
        <v>46195</v>
      </c>
      <c r="B494" t="s">
        <v>38</v>
      </c>
      <c r="C494" t="s">
        <v>39</v>
      </c>
      <c r="D494" t="s">
        <v>40</v>
      </c>
      <c r="H494">
        <v>240000</v>
      </c>
      <c r="I494">
        <v>240000</v>
      </c>
      <c r="J494" t="s">
        <v>144</v>
      </c>
    </row>
    <row r="495" spans="1:10" hidden="1" x14ac:dyDescent="0.25">
      <c r="A495" s="2">
        <v>46203</v>
      </c>
      <c r="B495" t="s">
        <v>38</v>
      </c>
      <c r="C495" t="s">
        <v>39</v>
      </c>
      <c r="D495" t="s">
        <v>40</v>
      </c>
      <c r="H495">
        <v>240000</v>
      </c>
      <c r="I495">
        <v>240000</v>
      </c>
      <c r="J495" t="s">
        <v>144</v>
      </c>
    </row>
    <row r="496" spans="1:10" hidden="1" x14ac:dyDescent="0.25">
      <c r="A496" s="2">
        <v>45790</v>
      </c>
      <c r="B496" t="s">
        <v>42</v>
      </c>
      <c r="C496" t="s">
        <v>43</v>
      </c>
      <c r="D496" t="s">
        <v>44</v>
      </c>
      <c r="H496">
        <v>240000</v>
      </c>
      <c r="I496">
        <v>240000</v>
      </c>
      <c r="J496" t="s">
        <v>144</v>
      </c>
    </row>
    <row r="497" spans="1:10" hidden="1" x14ac:dyDescent="0.25">
      <c r="A497" s="2">
        <v>45802</v>
      </c>
      <c r="B497" t="s">
        <v>42</v>
      </c>
      <c r="C497" t="s">
        <v>43</v>
      </c>
      <c r="D497" t="s">
        <v>44</v>
      </c>
      <c r="H497">
        <v>240000</v>
      </c>
      <c r="I497">
        <v>240000</v>
      </c>
      <c r="J497" t="s">
        <v>144</v>
      </c>
    </row>
    <row r="498" spans="1:10" hidden="1" x14ac:dyDescent="0.25">
      <c r="A498" s="2">
        <v>45810</v>
      </c>
      <c r="B498" t="s">
        <v>42</v>
      </c>
      <c r="C498" t="s">
        <v>43</v>
      </c>
      <c r="D498" t="s">
        <v>44</v>
      </c>
      <c r="H498">
        <v>240000</v>
      </c>
      <c r="I498">
        <v>240000</v>
      </c>
      <c r="J498" t="s">
        <v>144</v>
      </c>
    </row>
    <row r="499" spans="1:10" hidden="1" x14ac:dyDescent="0.25">
      <c r="A499" s="2">
        <v>45818</v>
      </c>
      <c r="B499" t="s">
        <v>42</v>
      </c>
      <c r="C499" t="s">
        <v>43</v>
      </c>
      <c r="D499" t="s">
        <v>44</v>
      </c>
      <c r="H499">
        <v>240000</v>
      </c>
      <c r="I499">
        <v>240000</v>
      </c>
      <c r="J499" t="s">
        <v>144</v>
      </c>
    </row>
    <row r="500" spans="1:10" hidden="1" x14ac:dyDescent="0.25">
      <c r="A500" s="2">
        <v>45827</v>
      </c>
      <c r="B500" t="s">
        <v>42</v>
      </c>
      <c r="C500" t="s">
        <v>43</v>
      </c>
      <c r="D500" t="s">
        <v>44</v>
      </c>
      <c r="H500">
        <v>240000</v>
      </c>
      <c r="I500">
        <v>240000</v>
      </c>
      <c r="J500" t="s">
        <v>144</v>
      </c>
    </row>
    <row r="501" spans="1:10" hidden="1" x14ac:dyDescent="0.25">
      <c r="A501" s="2">
        <v>45836</v>
      </c>
      <c r="B501" t="s">
        <v>42</v>
      </c>
      <c r="C501" t="s">
        <v>43</v>
      </c>
      <c r="D501" t="s">
        <v>44</v>
      </c>
      <c r="H501">
        <v>240000</v>
      </c>
      <c r="I501">
        <v>240000</v>
      </c>
      <c r="J501" t="s">
        <v>144</v>
      </c>
    </row>
    <row r="502" spans="1:10" hidden="1" x14ac:dyDescent="0.25">
      <c r="A502" s="2">
        <v>45844</v>
      </c>
      <c r="B502" t="s">
        <v>42</v>
      </c>
      <c r="C502" t="s">
        <v>43</v>
      </c>
      <c r="D502" t="s">
        <v>44</v>
      </c>
      <c r="H502">
        <v>240000</v>
      </c>
      <c r="I502">
        <v>240000</v>
      </c>
      <c r="J502" t="s">
        <v>144</v>
      </c>
    </row>
    <row r="503" spans="1:10" hidden="1" x14ac:dyDescent="0.25">
      <c r="A503" s="2">
        <v>45853</v>
      </c>
      <c r="B503" t="s">
        <v>42</v>
      </c>
      <c r="C503" t="s">
        <v>43</v>
      </c>
      <c r="D503" t="s">
        <v>44</v>
      </c>
      <c r="H503">
        <v>240000</v>
      </c>
      <c r="I503">
        <v>240000</v>
      </c>
      <c r="J503" t="s">
        <v>144</v>
      </c>
    </row>
    <row r="504" spans="1:10" hidden="1" x14ac:dyDescent="0.25">
      <c r="A504" s="2">
        <v>45862</v>
      </c>
      <c r="B504" t="s">
        <v>42</v>
      </c>
      <c r="C504" t="s">
        <v>43</v>
      </c>
      <c r="D504" t="s">
        <v>44</v>
      </c>
      <c r="H504">
        <v>240000</v>
      </c>
      <c r="I504">
        <v>240000</v>
      </c>
      <c r="J504" t="s">
        <v>144</v>
      </c>
    </row>
    <row r="505" spans="1:10" hidden="1" x14ac:dyDescent="0.25">
      <c r="A505" s="2">
        <v>45874</v>
      </c>
      <c r="B505" t="s">
        <v>42</v>
      </c>
      <c r="C505" t="s">
        <v>43</v>
      </c>
      <c r="D505" t="s">
        <v>44</v>
      </c>
      <c r="H505">
        <v>240000</v>
      </c>
      <c r="I505">
        <v>240000</v>
      </c>
      <c r="J505" t="s">
        <v>144</v>
      </c>
    </row>
    <row r="506" spans="1:10" hidden="1" x14ac:dyDescent="0.25">
      <c r="A506" s="2">
        <v>45882</v>
      </c>
      <c r="B506" t="s">
        <v>42</v>
      </c>
      <c r="C506" t="s">
        <v>43</v>
      </c>
      <c r="D506" t="s">
        <v>44</v>
      </c>
      <c r="H506">
        <v>240000</v>
      </c>
      <c r="I506">
        <v>240000</v>
      </c>
      <c r="J506" t="s">
        <v>144</v>
      </c>
    </row>
    <row r="507" spans="1:10" hidden="1" x14ac:dyDescent="0.25">
      <c r="A507" s="2">
        <v>45890</v>
      </c>
      <c r="B507" t="s">
        <v>42</v>
      </c>
      <c r="C507" t="s">
        <v>43</v>
      </c>
      <c r="D507" t="s">
        <v>44</v>
      </c>
      <c r="H507">
        <v>240000</v>
      </c>
      <c r="I507">
        <v>240000</v>
      </c>
      <c r="J507" t="s">
        <v>144</v>
      </c>
    </row>
    <row r="508" spans="1:10" hidden="1" x14ac:dyDescent="0.25">
      <c r="A508" s="2">
        <v>45899</v>
      </c>
      <c r="B508" t="s">
        <v>42</v>
      </c>
      <c r="C508" t="s">
        <v>43</v>
      </c>
      <c r="D508" t="s">
        <v>44</v>
      </c>
      <c r="H508">
        <v>240000</v>
      </c>
      <c r="I508">
        <v>240000</v>
      </c>
      <c r="J508" t="s">
        <v>144</v>
      </c>
    </row>
    <row r="509" spans="1:10" hidden="1" x14ac:dyDescent="0.25">
      <c r="A509" s="2">
        <v>45907</v>
      </c>
      <c r="B509" t="s">
        <v>42</v>
      </c>
      <c r="C509" t="s">
        <v>43</v>
      </c>
      <c r="D509" t="s">
        <v>44</v>
      </c>
      <c r="H509">
        <v>240000</v>
      </c>
      <c r="I509">
        <v>240000</v>
      </c>
      <c r="J509" t="s">
        <v>144</v>
      </c>
    </row>
    <row r="510" spans="1:10" hidden="1" x14ac:dyDescent="0.25">
      <c r="A510" s="2">
        <v>45915</v>
      </c>
      <c r="B510" t="s">
        <v>42</v>
      </c>
      <c r="C510" t="s">
        <v>43</v>
      </c>
      <c r="D510" t="s">
        <v>44</v>
      </c>
      <c r="H510">
        <v>240000</v>
      </c>
      <c r="I510">
        <v>240000</v>
      </c>
      <c r="J510" t="s">
        <v>144</v>
      </c>
    </row>
    <row r="511" spans="1:10" hidden="1" x14ac:dyDescent="0.25">
      <c r="A511" s="2">
        <v>45922</v>
      </c>
      <c r="B511" t="s">
        <v>42</v>
      </c>
      <c r="C511" t="s">
        <v>43</v>
      </c>
      <c r="D511" t="s">
        <v>44</v>
      </c>
      <c r="H511">
        <v>240000</v>
      </c>
      <c r="I511">
        <v>240000</v>
      </c>
      <c r="J511" t="s">
        <v>144</v>
      </c>
    </row>
    <row r="512" spans="1:10" hidden="1" x14ac:dyDescent="0.25">
      <c r="A512" s="2">
        <v>45928</v>
      </c>
      <c r="B512" t="s">
        <v>42</v>
      </c>
      <c r="C512" t="s">
        <v>43</v>
      </c>
      <c r="D512" t="s">
        <v>44</v>
      </c>
      <c r="H512">
        <v>240000</v>
      </c>
      <c r="I512">
        <v>240000</v>
      </c>
      <c r="J512" t="s">
        <v>144</v>
      </c>
    </row>
    <row r="513" spans="1:10" hidden="1" x14ac:dyDescent="0.25">
      <c r="A513" s="2">
        <v>45936</v>
      </c>
      <c r="B513" t="s">
        <v>42</v>
      </c>
      <c r="C513" t="s">
        <v>43</v>
      </c>
      <c r="D513" t="s">
        <v>44</v>
      </c>
      <c r="H513">
        <v>240000</v>
      </c>
      <c r="I513">
        <v>240000</v>
      </c>
      <c r="J513" t="s">
        <v>144</v>
      </c>
    </row>
    <row r="514" spans="1:10" hidden="1" x14ac:dyDescent="0.25">
      <c r="A514" s="2">
        <v>45943</v>
      </c>
      <c r="B514" t="s">
        <v>42</v>
      </c>
      <c r="C514" t="s">
        <v>43</v>
      </c>
      <c r="D514" t="s">
        <v>44</v>
      </c>
      <c r="H514">
        <v>240000</v>
      </c>
      <c r="I514">
        <v>240000</v>
      </c>
      <c r="J514" t="s">
        <v>144</v>
      </c>
    </row>
    <row r="515" spans="1:10" hidden="1" x14ac:dyDescent="0.25">
      <c r="A515" s="2">
        <v>45951</v>
      </c>
      <c r="B515" t="s">
        <v>42</v>
      </c>
      <c r="C515" t="s">
        <v>43</v>
      </c>
      <c r="D515" t="s">
        <v>44</v>
      </c>
      <c r="H515">
        <v>240000</v>
      </c>
      <c r="I515">
        <v>240000</v>
      </c>
      <c r="J515" t="s">
        <v>144</v>
      </c>
    </row>
    <row r="516" spans="1:10" hidden="1" x14ac:dyDescent="0.25">
      <c r="A516" s="2">
        <v>45960</v>
      </c>
      <c r="B516" t="s">
        <v>42</v>
      </c>
      <c r="C516" t="s">
        <v>43</v>
      </c>
      <c r="D516" t="s">
        <v>44</v>
      </c>
      <c r="H516">
        <v>240000</v>
      </c>
      <c r="I516">
        <v>240000</v>
      </c>
      <c r="J516" t="s">
        <v>144</v>
      </c>
    </row>
    <row r="517" spans="1:10" hidden="1" x14ac:dyDescent="0.25">
      <c r="A517" s="2">
        <v>45967</v>
      </c>
      <c r="B517" t="s">
        <v>42</v>
      </c>
      <c r="C517" t="s">
        <v>43</v>
      </c>
      <c r="D517" t="s">
        <v>44</v>
      </c>
      <c r="H517">
        <v>240000</v>
      </c>
      <c r="I517">
        <v>240000</v>
      </c>
      <c r="J517" t="s">
        <v>144</v>
      </c>
    </row>
    <row r="518" spans="1:10" hidden="1" x14ac:dyDescent="0.25">
      <c r="A518" s="2">
        <v>45979</v>
      </c>
      <c r="B518" t="s">
        <v>42</v>
      </c>
      <c r="C518" t="s">
        <v>43</v>
      </c>
      <c r="D518" t="s">
        <v>44</v>
      </c>
      <c r="H518">
        <v>240000</v>
      </c>
      <c r="I518">
        <v>240000</v>
      </c>
      <c r="J518" t="s">
        <v>144</v>
      </c>
    </row>
    <row r="519" spans="1:10" hidden="1" x14ac:dyDescent="0.25">
      <c r="A519" s="2">
        <v>45985</v>
      </c>
      <c r="B519" t="s">
        <v>42</v>
      </c>
      <c r="C519" t="s">
        <v>43</v>
      </c>
      <c r="D519" t="s">
        <v>44</v>
      </c>
      <c r="H519">
        <v>240000</v>
      </c>
      <c r="I519">
        <v>240000</v>
      </c>
      <c r="J519" t="s">
        <v>144</v>
      </c>
    </row>
    <row r="520" spans="1:10" hidden="1" x14ac:dyDescent="0.25">
      <c r="A520" s="2">
        <v>45993</v>
      </c>
      <c r="B520" t="s">
        <v>42</v>
      </c>
      <c r="C520" t="s">
        <v>43</v>
      </c>
      <c r="D520" t="s">
        <v>44</v>
      </c>
      <c r="H520">
        <v>240000</v>
      </c>
      <c r="I520">
        <v>240000</v>
      </c>
      <c r="J520" t="s">
        <v>144</v>
      </c>
    </row>
    <row r="521" spans="1:10" hidden="1" x14ac:dyDescent="0.25">
      <c r="A521" s="2">
        <v>46005</v>
      </c>
      <c r="B521" t="s">
        <v>42</v>
      </c>
      <c r="C521" t="s">
        <v>43</v>
      </c>
      <c r="D521" t="s">
        <v>44</v>
      </c>
      <c r="H521">
        <v>240000</v>
      </c>
      <c r="I521">
        <v>240000</v>
      </c>
      <c r="J521" t="s">
        <v>144</v>
      </c>
    </row>
    <row r="522" spans="1:10" hidden="1" x14ac:dyDescent="0.25">
      <c r="A522" s="2">
        <v>46011</v>
      </c>
      <c r="B522" t="s">
        <v>42</v>
      </c>
      <c r="C522" t="s">
        <v>43</v>
      </c>
      <c r="D522" t="s">
        <v>44</v>
      </c>
      <c r="H522">
        <v>240000</v>
      </c>
      <c r="I522">
        <v>240000</v>
      </c>
      <c r="J522" t="s">
        <v>144</v>
      </c>
    </row>
    <row r="523" spans="1:10" hidden="1" x14ac:dyDescent="0.25">
      <c r="A523" s="2">
        <v>46028</v>
      </c>
      <c r="B523" t="s">
        <v>42</v>
      </c>
      <c r="C523" t="s">
        <v>43</v>
      </c>
      <c r="D523" t="s">
        <v>44</v>
      </c>
      <c r="H523">
        <v>240000</v>
      </c>
      <c r="I523">
        <v>240000</v>
      </c>
      <c r="J523" t="s">
        <v>144</v>
      </c>
    </row>
    <row r="524" spans="1:10" hidden="1" x14ac:dyDescent="0.25">
      <c r="A524" s="2">
        <v>46037</v>
      </c>
      <c r="B524" t="s">
        <v>42</v>
      </c>
      <c r="C524" t="s">
        <v>43</v>
      </c>
      <c r="D524" t="s">
        <v>44</v>
      </c>
      <c r="H524">
        <v>240000</v>
      </c>
      <c r="I524">
        <v>240000</v>
      </c>
      <c r="J524" t="s">
        <v>144</v>
      </c>
    </row>
    <row r="525" spans="1:10" hidden="1" x14ac:dyDescent="0.25">
      <c r="A525" s="2">
        <v>46046</v>
      </c>
      <c r="B525" t="s">
        <v>42</v>
      </c>
      <c r="C525" t="s">
        <v>43</v>
      </c>
      <c r="D525" t="s">
        <v>44</v>
      </c>
      <c r="H525">
        <v>240000</v>
      </c>
      <c r="I525">
        <v>240000</v>
      </c>
      <c r="J525" t="s">
        <v>144</v>
      </c>
    </row>
    <row r="526" spans="1:10" hidden="1" x14ac:dyDescent="0.25">
      <c r="A526" s="2">
        <v>46055</v>
      </c>
      <c r="B526" t="s">
        <v>42</v>
      </c>
      <c r="C526" t="s">
        <v>43</v>
      </c>
      <c r="D526" t="s">
        <v>44</v>
      </c>
      <c r="H526">
        <v>240000</v>
      </c>
      <c r="I526">
        <v>240000</v>
      </c>
      <c r="J526" t="s">
        <v>144</v>
      </c>
    </row>
    <row r="527" spans="1:10" hidden="1" x14ac:dyDescent="0.25">
      <c r="A527" s="2">
        <v>46063</v>
      </c>
      <c r="B527" t="s">
        <v>42</v>
      </c>
      <c r="C527" t="s">
        <v>43</v>
      </c>
      <c r="D527" t="s">
        <v>44</v>
      </c>
      <c r="H527">
        <v>240000</v>
      </c>
      <c r="I527">
        <v>240000</v>
      </c>
      <c r="J527" t="s">
        <v>144</v>
      </c>
    </row>
    <row r="528" spans="1:10" hidden="1" x14ac:dyDescent="0.25">
      <c r="A528" s="2">
        <v>46071</v>
      </c>
      <c r="B528" t="s">
        <v>42</v>
      </c>
      <c r="C528" t="s">
        <v>43</v>
      </c>
      <c r="D528" t="s">
        <v>44</v>
      </c>
      <c r="H528">
        <v>240000</v>
      </c>
      <c r="I528">
        <v>240000</v>
      </c>
      <c r="J528" t="s">
        <v>144</v>
      </c>
    </row>
    <row r="529" spans="1:10" hidden="1" x14ac:dyDescent="0.25">
      <c r="A529" s="2">
        <v>46079</v>
      </c>
      <c r="B529" t="s">
        <v>42</v>
      </c>
      <c r="C529" t="s">
        <v>43</v>
      </c>
      <c r="D529" t="s">
        <v>44</v>
      </c>
      <c r="H529">
        <v>240000</v>
      </c>
      <c r="I529">
        <v>240000</v>
      </c>
      <c r="J529" t="s">
        <v>144</v>
      </c>
    </row>
    <row r="530" spans="1:10" hidden="1" x14ac:dyDescent="0.25">
      <c r="A530" s="2">
        <v>46087</v>
      </c>
      <c r="B530" t="s">
        <v>42</v>
      </c>
      <c r="C530" t="s">
        <v>43</v>
      </c>
      <c r="D530" t="s">
        <v>44</v>
      </c>
      <c r="H530">
        <v>240000</v>
      </c>
      <c r="I530">
        <v>240000</v>
      </c>
      <c r="J530" t="s">
        <v>144</v>
      </c>
    </row>
    <row r="531" spans="1:10" hidden="1" x14ac:dyDescent="0.25">
      <c r="A531" s="2">
        <v>46095</v>
      </c>
      <c r="B531" t="s">
        <v>42</v>
      </c>
      <c r="C531" t="s">
        <v>43</v>
      </c>
      <c r="D531" t="s">
        <v>44</v>
      </c>
      <c r="H531">
        <v>240000</v>
      </c>
      <c r="I531">
        <v>240000</v>
      </c>
      <c r="J531" t="s">
        <v>144</v>
      </c>
    </row>
    <row r="532" spans="1:10" hidden="1" x14ac:dyDescent="0.25">
      <c r="A532" s="2">
        <v>46104</v>
      </c>
      <c r="B532" t="s">
        <v>42</v>
      </c>
      <c r="C532" t="s">
        <v>43</v>
      </c>
      <c r="D532" t="s">
        <v>44</v>
      </c>
      <c r="H532">
        <v>240000</v>
      </c>
      <c r="I532">
        <v>240000</v>
      </c>
      <c r="J532" t="s">
        <v>144</v>
      </c>
    </row>
    <row r="533" spans="1:10" hidden="1" x14ac:dyDescent="0.25">
      <c r="A533" s="2">
        <v>46113</v>
      </c>
      <c r="B533" t="s">
        <v>42</v>
      </c>
      <c r="C533" t="s">
        <v>43</v>
      </c>
      <c r="D533" t="s">
        <v>44</v>
      </c>
      <c r="H533">
        <v>240000</v>
      </c>
      <c r="I533">
        <v>240000</v>
      </c>
      <c r="J533" t="s">
        <v>144</v>
      </c>
    </row>
    <row r="534" spans="1:10" hidden="1" x14ac:dyDescent="0.25">
      <c r="A534" s="2">
        <v>46122</v>
      </c>
      <c r="B534" t="s">
        <v>42</v>
      </c>
      <c r="C534" t="s">
        <v>43</v>
      </c>
      <c r="D534" t="s">
        <v>44</v>
      </c>
      <c r="H534">
        <v>240000</v>
      </c>
      <c r="I534">
        <v>240000</v>
      </c>
      <c r="J534" t="s">
        <v>144</v>
      </c>
    </row>
    <row r="535" spans="1:10" hidden="1" x14ac:dyDescent="0.25">
      <c r="A535" s="2">
        <v>46131</v>
      </c>
      <c r="B535" t="s">
        <v>42</v>
      </c>
      <c r="C535" t="s">
        <v>43</v>
      </c>
      <c r="D535" t="s">
        <v>44</v>
      </c>
      <c r="H535">
        <v>240000</v>
      </c>
      <c r="I535">
        <v>240000</v>
      </c>
      <c r="J535" t="s">
        <v>144</v>
      </c>
    </row>
    <row r="536" spans="1:10" hidden="1" x14ac:dyDescent="0.25">
      <c r="A536" s="2">
        <v>46141</v>
      </c>
      <c r="B536" t="s">
        <v>42</v>
      </c>
      <c r="C536" t="s">
        <v>43</v>
      </c>
      <c r="D536" t="s">
        <v>44</v>
      </c>
      <c r="H536">
        <v>240000</v>
      </c>
      <c r="I536">
        <v>240000</v>
      </c>
      <c r="J536" t="s">
        <v>144</v>
      </c>
    </row>
    <row r="537" spans="1:10" hidden="1" x14ac:dyDescent="0.25">
      <c r="A537" s="2">
        <v>46149</v>
      </c>
      <c r="B537" t="s">
        <v>42</v>
      </c>
      <c r="C537" t="s">
        <v>43</v>
      </c>
      <c r="D537" t="s">
        <v>44</v>
      </c>
      <c r="H537">
        <v>240000</v>
      </c>
      <c r="I537">
        <v>240000</v>
      </c>
      <c r="J537" t="s">
        <v>144</v>
      </c>
    </row>
    <row r="538" spans="1:10" hidden="1" x14ac:dyDescent="0.25">
      <c r="A538" s="2">
        <v>46159</v>
      </c>
      <c r="B538" t="s">
        <v>42</v>
      </c>
      <c r="C538" t="s">
        <v>43</v>
      </c>
      <c r="D538" t="s">
        <v>44</v>
      </c>
      <c r="H538">
        <v>240000</v>
      </c>
      <c r="I538">
        <v>240000</v>
      </c>
      <c r="J538" t="s">
        <v>144</v>
      </c>
    </row>
    <row r="539" spans="1:10" hidden="1" x14ac:dyDescent="0.25">
      <c r="A539" s="2">
        <v>46167</v>
      </c>
      <c r="B539" t="s">
        <v>42</v>
      </c>
      <c r="C539" t="s">
        <v>43</v>
      </c>
      <c r="D539" t="s">
        <v>44</v>
      </c>
      <c r="H539">
        <v>240000</v>
      </c>
      <c r="I539">
        <v>240000</v>
      </c>
      <c r="J539" t="s">
        <v>144</v>
      </c>
    </row>
    <row r="540" spans="1:10" hidden="1" x14ac:dyDescent="0.25">
      <c r="A540" s="2">
        <v>46176</v>
      </c>
      <c r="B540" t="s">
        <v>42</v>
      </c>
      <c r="C540" t="s">
        <v>43</v>
      </c>
      <c r="D540" t="s">
        <v>44</v>
      </c>
      <c r="H540">
        <v>240000</v>
      </c>
      <c r="I540">
        <v>240000</v>
      </c>
      <c r="J540" t="s">
        <v>144</v>
      </c>
    </row>
    <row r="541" spans="1:10" hidden="1" x14ac:dyDescent="0.25">
      <c r="A541" s="2">
        <v>46185</v>
      </c>
      <c r="B541" t="s">
        <v>42</v>
      </c>
      <c r="C541" t="s">
        <v>43</v>
      </c>
      <c r="D541" t="s">
        <v>44</v>
      </c>
      <c r="H541">
        <v>240000</v>
      </c>
      <c r="I541">
        <v>240000</v>
      </c>
      <c r="J541" t="s">
        <v>144</v>
      </c>
    </row>
    <row r="542" spans="1:10" hidden="1" x14ac:dyDescent="0.25">
      <c r="A542" s="2">
        <v>46195</v>
      </c>
      <c r="B542" t="s">
        <v>42</v>
      </c>
      <c r="C542" t="s">
        <v>43</v>
      </c>
      <c r="D542" t="s">
        <v>44</v>
      </c>
      <c r="H542">
        <v>240000</v>
      </c>
      <c r="I542">
        <v>240000</v>
      </c>
      <c r="J542" t="s">
        <v>144</v>
      </c>
    </row>
    <row r="543" spans="1:10" hidden="1" x14ac:dyDescent="0.25">
      <c r="A543" s="2">
        <v>46203</v>
      </c>
      <c r="B543" t="s">
        <v>42</v>
      </c>
      <c r="C543" t="s">
        <v>43</v>
      </c>
      <c r="D543" t="s">
        <v>44</v>
      </c>
      <c r="H543">
        <v>240000</v>
      </c>
      <c r="I543">
        <v>240000</v>
      </c>
      <c r="J543" t="s">
        <v>144</v>
      </c>
    </row>
    <row r="544" spans="1:10" hidden="1" x14ac:dyDescent="0.25">
      <c r="A544" s="2">
        <v>46211</v>
      </c>
      <c r="B544" t="s">
        <v>42</v>
      </c>
      <c r="C544" t="s">
        <v>43</v>
      </c>
      <c r="D544" t="s">
        <v>44</v>
      </c>
      <c r="H544">
        <v>240000</v>
      </c>
      <c r="I544">
        <v>240000</v>
      </c>
      <c r="J544" t="s">
        <v>144</v>
      </c>
    </row>
    <row r="545" spans="1:10" hidden="1" x14ac:dyDescent="0.25">
      <c r="A545" s="2">
        <v>46220</v>
      </c>
      <c r="B545" t="s">
        <v>42</v>
      </c>
      <c r="C545" t="s">
        <v>43</v>
      </c>
      <c r="D545" t="s">
        <v>44</v>
      </c>
      <c r="H545">
        <v>240000</v>
      </c>
      <c r="I545">
        <v>240000</v>
      </c>
      <c r="J545" t="s">
        <v>144</v>
      </c>
    </row>
    <row r="546" spans="1:10" hidden="1" x14ac:dyDescent="0.25">
      <c r="A546" s="2">
        <v>45799</v>
      </c>
      <c r="B546" t="s">
        <v>46</v>
      </c>
      <c r="C546" t="s">
        <v>47</v>
      </c>
      <c r="D546" t="s">
        <v>48</v>
      </c>
      <c r="H546">
        <v>240000</v>
      </c>
      <c r="I546">
        <v>240000</v>
      </c>
      <c r="J546" t="s">
        <v>144</v>
      </c>
    </row>
    <row r="547" spans="1:10" hidden="1" x14ac:dyDescent="0.25">
      <c r="A547" s="2">
        <v>45808</v>
      </c>
      <c r="B547" t="s">
        <v>46</v>
      </c>
      <c r="C547" t="s">
        <v>47</v>
      </c>
      <c r="D547" t="s">
        <v>48</v>
      </c>
      <c r="H547">
        <v>240000</v>
      </c>
      <c r="I547">
        <v>240000</v>
      </c>
      <c r="J547" t="s">
        <v>144</v>
      </c>
    </row>
    <row r="548" spans="1:10" hidden="1" x14ac:dyDescent="0.25">
      <c r="A548" s="2">
        <v>45813</v>
      </c>
      <c r="B548" t="s">
        <v>46</v>
      </c>
      <c r="C548" t="s">
        <v>47</v>
      </c>
      <c r="D548" t="s">
        <v>48</v>
      </c>
      <c r="H548">
        <v>240000</v>
      </c>
      <c r="I548">
        <v>240000</v>
      </c>
      <c r="J548" t="s">
        <v>144</v>
      </c>
    </row>
    <row r="549" spans="1:10" hidden="1" x14ac:dyDescent="0.25">
      <c r="A549" s="2">
        <v>45821</v>
      </c>
      <c r="B549" t="s">
        <v>46</v>
      </c>
      <c r="C549" t="s">
        <v>47</v>
      </c>
      <c r="D549" t="s">
        <v>48</v>
      </c>
      <c r="H549">
        <v>240000</v>
      </c>
      <c r="I549">
        <v>240000</v>
      </c>
      <c r="J549" t="s">
        <v>144</v>
      </c>
    </row>
    <row r="550" spans="1:10" hidden="1" x14ac:dyDescent="0.25">
      <c r="A550" s="2">
        <v>45828</v>
      </c>
      <c r="B550" t="s">
        <v>46</v>
      </c>
      <c r="C550" t="s">
        <v>47</v>
      </c>
      <c r="D550" t="s">
        <v>48</v>
      </c>
      <c r="H550">
        <v>240000</v>
      </c>
      <c r="I550">
        <v>240000</v>
      </c>
      <c r="J550" t="s">
        <v>144</v>
      </c>
    </row>
    <row r="551" spans="1:10" hidden="1" x14ac:dyDescent="0.25">
      <c r="A551" s="2">
        <v>45835</v>
      </c>
      <c r="B551" t="s">
        <v>46</v>
      </c>
      <c r="C551" t="s">
        <v>47</v>
      </c>
      <c r="D551" t="s">
        <v>48</v>
      </c>
      <c r="H551">
        <v>240000</v>
      </c>
      <c r="I551">
        <v>240000</v>
      </c>
      <c r="J551" t="s">
        <v>144</v>
      </c>
    </row>
    <row r="552" spans="1:10" hidden="1" x14ac:dyDescent="0.25">
      <c r="A552" s="2">
        <v>45842</v>
      </c>
      <c r="B552" t="s">
        <v>46</v>
      </c>
      <c r="C552" t="s">
        <v>47</v>
      </c>
      <c r="D552" t="s">
        <v>48</v>
      </c>
      <c r="H552">
        <v>240000</v>
      </c>
      <c r="I552">
        <v>240000</v>
      </c>
      <c r="J552" t="s">
        <v>144</v>
      </c>
    </row>
    <row r="553" spans="1:10" hidden="1" x14ac:dyDescent="0.25">
      <c r="A553" s="2">
        <v>45868</v>
      </c>
      <c r="B553" t="s">
        <v>46</v>
      </c>
      <c r="C553" t="s">
        <v>47</v>
      </c>
      <c r="D553" t="s">
        <v>48</v>
      </c>
      <c r="H553">
        <v>240000</v>
      </c>
      <c r="I553">
        <v>240000</v>
      </c>
      <c r="J553" t="s">
        <v>144</v>
      </c>
    </row>
    <row r="554" spans="1:10" hidden="1" x14ac:dyDescent="0.25">
      <c r="A554" s="2">
        <v>45974</v>
      </c>
      <c r="B554" t="s">
        <v>46</v>
      </c>
      <c r="C554" t="s">
        <v>47</v>
      </c>
      <c r="D554" t="s">
        <v>48</v>
      </c>
      <c r="H554">
        <v>240000</v>
      </c>
      <c r="I554">
        <v>240000</v>
      </c>
      <c r="J554" t="s">
        <v>144</v>
      </c>
    </row>
    <row r="555" spans="1:10" hidden="1" x14ac:dyDescent="0.25">
      <c r="A555" s="2">
        <v>45983</v>
      </c>
      <c r="B555" t="s">
        <v>46</v>
      </c>
      <c r="C555" t="s">
        <v>47</v>
      </c>
      <c r="D555" t="s">
        <v>48</v>
      </c>
      <c r="H555">
        <v>240000</v>
      </c>
      <c r="I555">
        <v>240000</v>
      </c>
      <c r="J555" t="s">
        <v>144</v>
      </c>
    </row>
    <row r="556" spans="1:10" hidden="1" x14ac:dyDescent="0.25">
      <c r="A556" s="2">
        <v>45990</v>
      </c>
      <c r="B556" t="s">
        <v>46</v>
      </c>
      <c r="C556" t="s">
        <v>47</v>
      </c>
      <c r="D556" t="s">
        <v>48</v>
      </c>
      <c r="H556">
        <v>240000</v>
      </c>
      <c r="I556">
        <v>240000</v>
      </c>
      <c r="J556" t="s">
        <v>144</v>
      </c>
    </row>
    <row r="557" spans="1:10" hidden="1" x14ac:dyDescent="0.25">
      <c r="A557" s="2">
        <v>45998</v>
      </c>
      <c r="B557" t="s">
        <v>46</v>
      </c>
      <c r="C557" t="s">
        <v>47</v>
      </c>
      <c r="D557" t="s">
        <v>48</v>
      </c>
      <c r="H557">
        <v>240000</v>
      </c>
      <c r="I557">
        <v>240000</v>
      </c>
      <c r="J557" t="s">
        <v>144</v>
      </c>
    </row>
    <row r="558" spans="1:10" hidden="1" x14ac:dyDescent="0.25">
      <c r="A558" s="2">
        <v>46005</v>
      </c>
      <c r="B558" t="s">
        <v>46</v>
      </c>
      <c r="C558" t="s">
        <v>47</v>
      </c>
      <c r="D558" t="s">
        <v>48</v>
      </c>
      <c r="H558">
        <v>240000</v>
      </c>
      <c r="I558">
        <v>240000</v>
      </c>
      <c r="J558" t="s">
        <v>144</v>
      </c>
    </row>
    <row r="559" spans="1:10" hidden="1" x14ac:dyDescent="0.25">
      <c r="A559" s="2">
        <v>46014</v>
      </c>
      <c r="B559" t="s">
        <v>46</v>
      </c>
      <c r="C559" t="s">
        <v>47</v>
      </c>
      <c r="D559" t="s">
        <v>48</v>
      </c>
      <c r="H559">
        <v>240000</v>
      </c>
      <c r="I559">
        <v>240000</v>
      </c>
      <c r="J559" t="s">
        <v>144</v>
      </c>
    </row>
    <row r="560" spans="1:10" hidden="1" x14ac:dyDescent="0.25">
      <c r="A560" s="2">
        <v>46028</v>
      </c>
      <c r="B560" t="s">
        <v>46</v>
      </c>
      <c r="C560" t="s">
        <v>47</v>
      </c>
      <c r="D560" t="s">
        <v>48</v>
      </c>
      <c r="H560">
        <v>240000</v>
      </c>
      <c r="I560">
        <v>240000</v>
      </c>
      <c r="J560" t="s">
        <v>144</v>
      </c>
    </row>
    <row r="561" spans="1:10" hidden="1" x14ac:dyDescent="0.25">
      <c r="A561" s="2">
        <v>46035</v>
      </c>
      <c r="B561" t="s">
        <v>46</v>
      </c>
      <c r="C561" t="s">
        <v>47</v>
      </c>
      <c r="D561" t="s">
        <v>48</v>
      </c>
      <c r="H561">
        <v>240000</v>
      </c>
      <c r="I561">
        <v>240000</v>
      </c>
      <c r="J561" t="s">
        <v>144</v>
      </c>
    </row>
    <row r="562" spans="1:10" hidden="1" x14ac:dyDescent="0.25">
      <c r="A562" s="2">
        <v>46043</v>
      </c>
      <c r="B562" t="s">
        <v>46</v>
      </c>
      <c r="C562" t="s">
        <v>47</v>
      </c>
      <c r="D562" t="s">
        <v>48</v>
      </c>
      <c r="H562">
        <v>240000</v>
      </c>
      <c r="I562">
        <v>240000</v>
      </c>
      <c r="J562" t="s">
        <v>144</v>
      </c>
    </row>
    <row r="563" spans="1:10" hidden="1" x14ac:dyDescent="0.25">
      <c r="A563" s="2">
        <v>46054</v>
      </c>
      <c r="B563" t="s">
        <v>46</v>
      </c>
      <c r="C563" t="s">
        <v>47</v>
      </c>
      <c r="D563" t="s">
        <v>48</v>
      </c>
      <c r="H563">
        <v>240000</v>
      </c>
      <c r="I563">
        <v>240000</v>
      </c>
      <c r="J563" t="s">
        <v>144</v>
      </c>
    </row>
    <row r="564" spans="1:10" hidden="1" x14ac:dyDescent="0.25">
      <c r="A564" s="2">
        <v>46062</v>
      </c>
      <c r="B564" t="s">
        <v>46</v>
      </c>
      <c r="C564" t="s">
        <v>47</v>
      </c>
      <c r="D564" t="s">
        <v>48</v>
      </c>
      <c r="H564">
        <v>240000</v>
      </c>
      <c r="I564">
        <v>240000</v>
      </c>
      <c r="J564" t="s">
        <v>144</v>
      </c>
    </row>
    <row r="565" spans="1:10" hidden="1" x14ac:dyDescent="0.25">
      <c r="A565" s="2">
        <v>46071</v>
      </c>
      <c r="B565" t="s">
        <v>46</v>
      </c>
      <c r="C565" t="s">
        <v>47</v>
      </c>
      <c r="D565" t="s">
        <v>48</v>
      </c>
      <c r="H565">
        <v>240000</v>
      </c>
      <c r="I565">
        <v>240000</v>
      </c>
      <c r="J565" t="s">
        <v>144</v>
      </c>
    </row>
    <row r="566" spans="1:10" hidden="1" x14ac:dyDescent="0.25">
      <c r="A566" s="2">
        <v>46079</v>
      </c>
      <c r="B566" t="s">
        <v>46</v>
      </c>
      <c r="C566" t="s">
        <v>47</v>
      </c>
      <c r="D566" t="s">
        <v>48</v>
      </c>
      <c r="H566">
        <v>240000</v>
      </c>
      <c r="I566">
        <v>240000</v>
      </c>
      <c r="J566" t="s">
        <v>144</v>
      </c>
    </row>
    <row r="567" spans="1:10" hidden="1" x14ac:dyDescent="0.25">
      <c r="A567" s="2">
        <v>46087</v>
      </c>
      <c r="B567" t="s">
        <v>46</v>
      </c>
      <c r="C567" t="s">
        <v>47</v>
      </c>
      <c r="D567" t="s">
        <v>48</v>
      </c>
      <c r="H567">
        <v>240000</v>
      </c>
      <c r="I567">
        <v>240000</v>
      </c>
      <c r="J567" t="s">
        <v>144</v>
      </c>
    </row>
    <row r="568" spans="1:10" hidden="1" x14ac:dyDescent="0.25">
      <c r="A568" s="2">
        <v>46097</v>
      </c>
      <c r="B568" t="s">
        <v>46</v>
      </c>
      <c r="C568" t="s">
        <v>47</v>
      </c>
      <c r="D568" t="s">
        <v>48</v>
      </c>
      <c r="H568">
        <v>240000</v>
      </c>
      <c r="I568">
        <v>240000</v>
      </c>
      <c r="J568" t="s">
        <v>144</v>
      </c>
    </row>
    <row r="569" spans="1:10" hidden="1" x14ac:dyDescent="0.25">
      <c r="A569" s="2">
        <v>46107</v>
      </c>
      <c r="B569" t="s">
        <v>46</v>
      </c>
      <c r="C569" t="s">
        <v>47</v>
      </c>
      <c r="D569" t="s">
        <v>48</v>
      </c>
      <c r="H569">
        <v>240000</v>
      </c>
      <c r="I569">
        <v>240000</v>
      </c>
      <c r="J569" t="s">
        <v>144</v>
      </c>
    </row>
    <row r="570" spans="1:10" hidden="1" x14ac:dyDescent="0.25">
      <c r="A570" s="2">
        <v>46115</v>
      </c>
      <c r="B570" t="s">
        <v>46</v>
      </c>
      <c r="C570" t="s">
        <v>47</v>
      </c>
      <c r="D570" t="s">
        <v>48</v>
      </c>
      <c r="H570">
        <v>240000</v>
      </c>
      <c r="I570">
        <v>240000</v>
      </c>
      <c r="J570" t="s">
        <v>144</v>
      </c>
    </row>
    <row r="571" spans="1:10" hidden="1" x14ac:dyDescent="0.25">
      <c r="A571" s="2">
        <v>46121</v>
      </c>
      <c r="B571" t="s">
        <v>46</v>
      </c>
      <c r="C571" t="s">
        <v>47</v>
      </c>
      <c r="D571" t="s">
        <v>48</v>
      </c>
      <c r="H571">
        <v>240000</v>
      </c>
      <c r="I571">
        <v>240000</v>
      </c>
      <c r="J571" t="s">
        <v>144</v>
      </c>
    </row>
    <row r="572" spans="1:10" hidden="1" x14ac:dyDescent="0.25">
      <c r="A572" s="2">
        <v>46130</v>
      </c>
      <c r="B572" t="s">
        <v>46</v>
      </c>
      <c r="C572" t="s">
        <v>47</v>
      </c>
      <c r="D572" t="s">
        <v>48</v>
      </c>
      <c r="H572">
        <v>240000</v>
      </c>
      <c r="I572">
        <v>240000</v>
      </c>
      <c r="J572" t="s">
        <v>144</v>
      </c>
    </row>
    <row r="573" spans="1:10" hidden="1" x14ac:dyDescent="0.25">
      <c r="A573" s="2">
        <v>46139</v>
      </c>
      <c r="B573" t="s">
        <v>46</v>
      </c>
      <c r="C573" t="s">
        <v>47</v>
      </c>
      <c r="D573" t="s">
        <v>48</v>
      </c>
      <c r="H573">
        <v>240000</v>
      </c>
      <c r="I573">
        <v>240000</v>
      </c>
      <c r="J573" t="s">
        <v>144</v>
      </c>
    </row>
    <row r="574" spans="1:10" hidden="1" x14ac:dyDescent="0.25">
      <c r="A574" s="2">
        <v>46148</v>
      </c>
      <c r="B574" t="s">
        <v>46</v>
      </c>
      <c r="C574" t="s">
        <v>47</v>
      </c>
      <c r="D574" t="s">
        <v>48</v>
      </c>
      <c r="H574">
        <v>240000</v>
      </c>
      <c r="I574">
        <v>240000</v>
      </c>
      <c r="J574" t="s">
        <v>144</v>
      </c>
    </row>
    <row r="575" spans="1:10" hidden="1" x14ac:dyDescent="0.25">
      <c r="A575" s="2">
        <v>46158</v>
      </c>
      <c r="B575" t="s">
        <v>46</v>
      </c>
      <c r="C575" t="s">
        <v>47</v>
      </c>
      <c r="D575" t="s">
        <v>48</v>
      </c>
      <c r="H575">
        <v>240000</v>
      </c>
      <c r="I575">
        <v>240000</v>
      </c>
      <c r="J575" t="s">
        <v>144</v>
      </c>
    </row>
    <row r="576" spans="1:10" hidden="1" x14ac:dyDescent="0.25">
      <c r="A576" s="2">
        <v>46164</v>
      </c>
      <c r="B576" t="s">
        <v>46</v>
      </c>
      <c r="C576" t="s">
        <v>47</v>
      </c>
      <c r="D576" t="s">
        <v>48</v>
      </c>
      <c r="H576">
        <v>240000</v>
      </c>
      <c r="I576">
        <v>240000</v>
      </c>
      <c r="J576" t="s">
        <v>144</v>
      </c>
    </row>
    <row r="577" spans="1:10" hidden="1" x14ac:dyDescent="0.25">
      <c r="A577" s="2">
        <v>46171</v>
      </c>
      <c r="B577" t="s">
        <v>46</v>
      </c>
      <c r="C577" t="s">
        <v>47</v>
      </c>
      <c r="D577" t="s">
        <v>48</v>
      </c>
      <c r="H577">
        <v>240000</v>
      </c>
      <c r="I577">
        <v>240000</v>
      </c>
      <c r="J577" t="s">
        <v>144</v>
      </c>
    </row>
    <row r="578" spans="1:10" hidden="1" x14ac:dyDescent="0.25">
      <c r="A578" s="2">
        <v>46181</v>
      </c>
      <c r="B578" t="s">
        <v>46</v>
      </c>
      <c r="C578" t="s">
        <v>47</v>
      </c>
      <c r="D578" t="s">
        <v>48</v>
      </c>
      <c r="H578">
        <v>240000</v>
      </c>
      <c r="I578">
        <v>240000</v>
      </c>
      <c r="J578" t="s">
        <v>144</v>
      </c>
    </row>
    <row r="579" spans="1:10" hidden="1" x14ac:dyDescent="0.25">
      <c r="A579" s="2">
        <v>46189</v>
      </c>
      <c r="B579" t="s">
        <v>46</v>
      </c>
      <c r="C579" t="s">
        <v>47</v>
      </c>
      <c r="D579" t="s">
        <v>48</v>
      </c>
      <c r="H579">
        <v>240000</v>
      </c>
      <c r="I579">
        <v>240000</v>
      </c>
      <c r="J579" t="s">
        <v>144</v>
      </c>
    </row>
    <row r="580" spans="1:10" hidden="1" x14ac:dyDescent="0.25">
      <c r="A580" s="2">
        <v>45802</v>
      </c>
      <c r="B580" t="s">
        <v>50</v>
      </c>
      <c r="C580" t="s">
        <v>51</v>
      </c>
      <c r="D580" t="s">
        <v>52</v>
      </c>
      <c r="H580">
        <v>240000</v>
      </c>
      <c r="I580">
        <v>240000</v>
      </c>
      <c r="J580" t="s">
        <v>144</v>
      </c>
    </row>
    <row r="581" spans="1:10" hidden="1" x14ac:dyDescent="0.25">
      <c r="A581" s="2">
        <v>45811</v>
      </c>
      <c r="B581" t="s">
        <v>50</v>
      </c>
      <c r="C581" t="s">
        <v>51</v>
      </c>
      <c r="D581" t="s">
        <v>52</v>
      </c>
      <c r="H581">
        <v>240000</v>
      </c>
      <c r="I581">
        <v>240000</v>
      </c>
      <c r="J581" t="s">
        <v>144</v>
      </c>
    </row>
    <row r="582" spans="1:10" hidden="1" x14ac:dyDescent="0.25">
      <c r="A582" s="2">
        <v>45818</v>
      </c>
      <c r="B582" t="s">
        <v>50</v>
      </c>
      <c r="C582" t="s">
        <v>51</v>
      </c>
      <c r="D582" t="s">
        <v>52</v>
      </c>
      <c r="H582">
        <v>240000</v>
      </c>
      <c r="I582">
        <v>240000</v>
      </c>
      <c r="J582" t="s">
        <v>144</v>
      </c>
    </row>
    <row r="583" spans="1:10" hidden="1" x14ac:dyDescent="0.25">
      <c r="A583" s="2">
        <v>45824</v>
      </c>
      <c r="B583" t="s">
        <v>50</v>
      </c>
      <c r="C583" t="s">
        <v>51</v>
      </c>
      <c r="D583" t="s">
        <v>52</v>
      </c>
      <c r="H583">
        <v>240000</v>
      </c>
      <c r="I583">
        <v>240000</v>
      </c>
      <c r="J583" t="s">
        <v>144</v>
      </c>
    </row>
    <row r="584" spans="1:10" hidden="1" x14ac:dyDescent="0.25">
      <c r="A584" s="2">
        <v>45830</v>
      </c>
      <c r="B584" t="s">
        <v>50</v>
      </c>
      <c r="C584" t="s">
        <v>51</v>
      </c>
      <c r="D584" t="s">
        <v>52</v>
      </c>
      <c r="H584">
        <v>240000</v>
      </c>
      <c r="I584">
        <v>240000</v>
      </c>
      <c r="J584" t="s">
        <v>144</v>
      </c>
    </row>
    <row r="585" spans="1:10" hidden="1" x14ac:dyDescent="0.25">
      <c r="A585" s="2">
        <v>45836</v>
      </c>
      <c r="B585" t="s">
        <v>50</v>
      </c>
      <c r="C585" t="s">
        <v>51</v>
      </c>
      <c r="D585" t="s">
        <v>52</v>
      </c>
      <c r="H585">
        <v>240000</v>
      </c>
      <c r="I585">
        <v>240000</v>
      </c>
      <c r="J585" t="s">
        <v>144</v>
      </c>
    </row>
    <row r="586" spans="1:10" hidden="1" x14ac:dyDescent="0.25">
      <c r="A586" s="2">
        <v>45843</v>
      </c>
      <c r="B586" t="s">
        <v>50</v>
      </c>
      <c r="C586" t="s">
        <v>51</v>
      </c>
      <c r="D586" t="s">
        <v>52</v>
      </c>
      <c r="H586">
        <v>240000</v>
      </c>
      <c r="I586">
        <v>240000</v>
      </c>
      <c r="J586" t="s">
        <v>144</v>
      </c>
    </row>
    <row r="587" spans="1:10" hidden="1" x14ac:dyDescent="0.25">
      <c r="A587" s="2">
        <v>45851</v>
      </c>
      <c r="B587" t="s">
        <v>50</v>
      </c>
      <c r="C587" t="s">
        <v>51</v>
      </c>
      <c r="D587" t="s">
        <v>52</v>
      </c>
      <c r="H587">
        <v>240000</v>
      </c>
      <c r="I587">
        <v>240000</v>
      </c>
      <c r="J587" t="s">
        <v>144</v>
      </c>
    </row>
    <row r="588" spans="1:10" hidden="1" x14ac:dyDescent="0.25">
      <c r="A588" s="2">
        <v>45859</v>
      </c>
      <c r="B588" t="s">
        <v>50</v>
      </c>
      <c r="C588" t="s">
        <v>51</v>
      </c>
      <c r="D588" t="s">
        <v>52</v>
      </c>
      <c r="H588">
        <v>240000</v>
      </c>
      <c r="I588">
        <v>240000</v>
      </c>
      <c r="J588" t="s">
        <v>144</v>
      </c>
    </row>
    <row r="589" spans="1:10" hidden="1" x14ac:dyDescent="0.25">
      <c r="A589" s="2">
        <v>45866</v>
      </c>
      <c r="B589" t="s">
        <v>50</v>
      </c>
      <c r="C589" t="s">
        <v>51</v>
      </c>
      <c r="D589" t="s">
        <v>52</v>
      </c>
      <c r="H589">
        <v>240000</v>
      </c>
      <c r="I589">
        <v>240000</v>
      </c>
      <c r="J589" t="s">
        <v>144</v>
      </c>
    </row>
    <row r="590" spans="1:10" hidden="1" x14ac:dyDescent="0.25">
      <c r="A590" s="2">
        <v>45873</v>
      </c>
      <c r="B590" t="s">
        <v>50</v>
      </c>
      <c r="C590" t="s">
        <v>51</v>
      </c>
      <c r="D590" t="s">
        <v>52</v>
      </c>
      <c r="H590">
        <v>240000</v>
      </c>
      <c r="I590">
        <v>240000</v>
      </c>
      <c r="J590" t="s">
        <v>144</v>
      </c>
    </row>
    <row r="591" spans="1:10" hidden="1" x14ac:dyDescent="0.25">
      <c r="A591" s="2">
        <v>45887</v>
      </c>
      <c r="B591" t="s">
        <v>50</v>
      </c>
      <c r="C591" t="s">
        <v>51</v>
      </c>
      <c r="D591" t="s">
        <v>52</v>
      </c>
      <c r="H591">
        <v>240000</v>
      </c>
      <c r="I591">
        <v>240000</v>
      </c>
      <c r="J591" t="s">
        <v>144</v>
      </c>
    </row>
    <row r="592" spans="1:10" hidden="1" x14ac:dyDescent="0.25">
      <c r="A592" s="2">
        <v>45894</v>
      </c>
      <c r="B592" t="s">
        <v>50</v>
      </c>
      <c r="C592" t="s">
        <v>51</v>
      </c>
      <c r="D592" t="s">
        <v>52</v>
      </c>
      <c r="H592">
        <v>240000</v>
      </c>
      <c r="I592">
        <v>240000</v>
      </c>
      <c r="J592" t="s">
        <v>144</v>
      </c>
    </row>
    <row r="593" spans="1:10" hidden="1" x14ac:dyDescent="0.25">
      <c r="A593" s="2">
        <v>45904</v>
      </c>
      <c r="B593" t="s">
        <v>50</v>
      </c>
      <c r="C593" t="s">
        <v>51</v>
      </c>
      <c r="D593" t="s">
        <v>52</v>
      </c>
      <c r="H593">
        <v>240000</v>
      </c>
      <c r="I593">
        <v>240000</v>
      </c>
      <c r="J593" t="s">
        <v>144</v>
      </c>
    </row>
    <row r="594" spans="1:10" hidden="1" x14ac:dyDescent="0.25">
      <c r="A594" s="2">
        <v>45911</v>
      </c>
      <c r="B594" t="s">
        <v>50</v>
      </c>
      <c r="C594" t="s">
        <v>51</v>
      </c>
      <c r="D594" t="s">
        <v>52</v>
      </c>
      <c r="H594">
        <v>240000</v>
      </c>
      <c r="I594">
        <v>240000</v>
      </c>
      <c r="J594" t="s">
        <v>144</v>
      </c>
    </row>
    <row r="595" spans="1:10" hidden="1" x14ac:dyDescent="0.25">
      <c r="A595" s="2">
        <v>45918</v>
      </c>
      <c r="B595" t="s">
        <v>50</v>
      </c>
      <c r="C595" t="s">
        <v>51</v>
      </c>
      <c r="D595" t="s">
        <v>52</v>
      </c>
      <c r="H595">
        <v>240000</v>
      </c>
      <c r="I595">
        <v>240000</v>
      </c>
      <c r="J595" t="s">
        <v>144</v>
      </c>
    </row>
    <row r="596" spans="1:10" hidden="1" x14ac:dyDescent="0.25">
      <c r="A596" s="2">
        <v>45925</v>
      </c>
      <c r="B596" t="s">
        <v>50</v>
      </c>
      <c r="C596" t="s">
        <v>51</v>
      </c>
      <c r="D596" t="s">
        <v>52</v>
      </c>
      <c r="H596">
        <v>240000</v>
      </c>
      <c r="I596">
        <v>240000</v>
      </c>
      <c r="J596" t="s">
        <v>144</v>
      </c>
    </row>
    <row r="597" spans="1:10" hidden="1" x14ac:dyDescent="0.25">
      <c r="A597" s="2">
        <v>45933</v>
      </c>
      <c r="B597" t="s">
        <v>50</v>
      </c>
      <c r="C597" t="s">
        <v>51</v>
      </c>
      <c r="D597" t="s">
        <v>52</v>
      </c>
      <c r="H597">
        <v>240000</v>
      </c>
      <c r="I597">
        <v>240000</v>
      </c>
      <c r="J597" t="s">
        <v>144</v>
      </c>
    </row>
    <row r="598" spans="1:10" hidden="1" x14ac:dyDescent="0.25">
      <c r="A598" s="2">
        <v>45941</v>
      </c>
      <c r="B598" t="s">
        <v>50</v>
      </c>
      <c r="C598" t="s">
        <v>51</v>
      </c>
      <c r="D598" t="s">
        <v>52</v>
      </c>
      <c r="H598">
        <v>240000</v>
      </c>
      <c r="I598">
        <v>240000</v>
      </c>
      <c r="J598" t="s">
        <v>144</v>
      </c>
    </row>
    <row r="599" spans="1:10" hidden="1" x14ac:dyDescent="0.25">
      <c r="A599" s="2">
        <v>45946</v>
      </c>
      <c r="B599" t="s">
        <v>50</v>
      </c>
      <c r="C599" t="s">
        <v>51</v>
      </c>
      <c r="D599" t="s">
        <v>52</v>
      </c>
      <c r="H599">
        <v>240000</v>
      </c>
      <c r="I599">
        <v>240000</v>
      </c>
      <c r="J599" t="s">
        <v>144</v>
      </c>
    </row>
    <row r="600" spans="1:10" hidden="1" x14ac:dyDescent="0.25">
      <c r="A600" s="2">
        <v>45953</v>
      </c>
      <c r="B600" t="s">
        <v>50</v>
      </c>
      <c r="C600" t="s">
        <v>51</v>
      </c>
      <c r="D600" t="s">
        <v>52</v>
      </c>
      <c r="H600">
        <v>240000</v>
      </c>
      <c r="I600">
        <v>240000</v>
      </c>
      <c r="J600" t="s">
        <v>144</v>
      </c>
    </row>
    <row r="601" spans="1:10" hidden="1" x14ac:dyDescent="0.25">
      <c r="A601" s="2">
        <v>45960</v>
      </c>
      <c r="B601" t="s">
        <v>50</v>
      </c>
      <c r="C601" t="s">
        <v>51</v>
      </c>
      <c r="D601" t="s">
        <v>52</v>
      </c>
      <c r="H601">
        <v>240000</v>
      </c>
      <c r="I601">
        <v>240000</v>
      </c>
      <c r="J601" t="s">
        <v>144</v>
      </c>
    </row>
    <row r="602" spans="1:10" hidden="1" x14ac:dyDescent="0.25">
      <c r="A602" s="2">
        <v>45965</v>
      </c>
      <c r="B602" t="s">
        <v>50</v>
      </c>
      <c r="C602" t="s">
        <v>51</v>
      </c>
      <c r="D602" t="s">
        <v>52</v>
      </c>
      <c r="H602">
        <v>240000</v>
      </c>
      <c r="I602">
        <v>240000</v>
      </c>
      <c r="J602" t="s">
        <v>144</v>
      </c>
    </row>
    <row r="603" spans="1:10" hidden="1" x14ac:dyDescent="0.25">
      <c r="A603" s="2">
        <v>45972</v>
      </c>
      <c r="B603" t="s">
        <v>50</v>
      </c>
      <c r="C603" t="s">
        <v>51</v>
      </c>
      <c r="D603" t="s">
        <v>52</v>
      </c>
      <c r="H603">
        <v>240000</v>
      </c>
      <c r="I603">
        <v>240000</v>
      </c>
      <c r="J603" t="s">
        <v>144</v>
      </c>
    </row>
    <row r="604" spans="1:10" hidden="1" x14ac:dyDescent="0.25">
      <c r="A604" s="2">
        <v>45976</v>
      </c>
      <c r="B604" t="s">
        <v>50</v>
      </c>
      <c r="C604" t="s">
        <v>51</v>
      </c>
      <c r="D604" t="s">
        <v>52</v>
      </c>
      <c r="H604">
        <v>240000</v>
      </c>
      <c r="I604">
        <v>240000</v>
      </c>
      <c r="J604" t="s">
        <v>144</v>
      </c>
    </row>
    <row r="605" spans="1:10" hidden="1" x14ac:dyDescent="0.25">
      <c r="A605" s="2">
        <v>45986</v>
      </c>
      <c r="B605" t="s">
        <v>50</v>
      </c>
      <c r="C605" t="s">
        <v>51</v>
      </c>
      <c r="D605" t="s">
        <v>52</v>
      </c>
      <c r="H605">
        <v>240000</v>
      </c>
      <c r="I605">
        <v>240000</v>
      </c>
      <c r="J605" t="s">
        <v>144</v>
      </c>
    </row>
    <row r="606" spans="1:10" hidden="1" x14ac:dyDescent="0.25">
      <c r="A606" s="2">
        <v>45992</v>
      </c>
      <c r="B606" t="s">
        <v>50</v>
      </c>
      <c r="C606" t="s">
        <v>51</v>
      </c>
      <c r="D606" t="s">
        <v>52</v>
      </c>
      <c r="H606">
        <v>240000</v>
      </c>
      <c r="I606">
        <v>240000</v>
      </c>
      <c r="J606" t="s">
        <v>144</v>
      </c>
    </row>
    <row r="607" spans="1:10" hidden="1" x14ac:dyDescent="0.25">
      <c r="A607" s="2">
        <v>45999</v>
      </c>
      <c r="B607" t="s">
        <v>50</v>
      </c>
      <c r="C607" t="s">
        <v>51</v>
      </c>
      <c r="D607" t="s">
        <v>52</v>
      </c>
      <c r="H607">
        <v>240000</v>
      </c>
      <c r="I607">
        <v>240000</v>
      </c>
      <c r="J607" t="s">
        <v>144</v>
      </c>
    </row>
    <row r="608" spans="1:10" hidden="1" x14ac:dyDescent="0.25">
      <c r="A608" s="2">
        <v>46006</v>
      </c>
      <c r="B608" t="s">
        <v>50</v>
      </c>
      <c r="C608" t="s">
        <v>51</v>
      </c>
      <c r="D608" t="s">
        <v>52</v>
      </c>
      <c r="H608">
        <v>240000</v>
      </c>
      <c r="I608">
        <v>240000</v>
      </c>
      <c r="J608" t="s">
        <v>144</v>
      </c>
    </row>
    <row r="609" spans="1:10" hidden="1" x14ac:dyDescent="0.25">
      <c r="A609" s="2">
        <v>46017</v>
      </c>
      <c r="B609" t="s">
        <v>50</v>
      </c>
      <c r="C609" t="s">
        <v>51</v>
      </c>
      <c r="D609" t="s">
        <v>52</v>
      </c>
      <c r="H609">
        <v>240000</v>
      </c>
      <c r="I609">
        <v>240000</v>
      </c>
      <c r="J609" t="s">
        <v>144</v>
      </c>
    </row>
    <row r="610" spans="1:10" hidden="1" x14ac:dyDescent="0.25">
      <c r="A610" s="2">
        <v>46028</v>
      </c>
      <c r="B610" t="s">
        <v>50</v>
      </c>
      <c r="C610" t="s">
        <v>51</v>
      </c>
      <c r="D610" t="s">
        <v>52</v>
      </c>
      <c r="H610">
        <v>240000</v>
      </c>
      <c r="I610">
        <v>240000</v>
      </c>
      <c r="J610" t="s">
        <v>144</v>
      </c>
    </row>
    <row r="611" spans="1:10" hidden="1" x14ac:dyDescent="0.25">
      <c r="A611" s="2">
        <v>46036</v>
      </c>
      <c r="B611" t="s">
        <v>50</v>
      </c>
      <c r="C611" t="s">
        <v>51</v>
      </c>
      <c r="D611" t="s">
        <v>52</v>
      </c>
      <c r="H611">
        <v>240000</v>
      </c>
      <c r="I611">
        <v>240000</v>
      </c>
      <c r="J611" t="s">
        <v>144</v>
      </c>
    </row>
    <row r="612" spans="1:10" hidden="1" x14ac:dyDescent="0.25">
      <c r="A612" s="2">
        <v>46043</v>
      </c>
      <c r="B612" t="s">
        <v>50</v>
      </c>
      <c r="C612" t="s">
        <v>51</v>
      </c>
      <c r="D612" t="s">
        <v>52</v>
      </c>
      <c r="H612">
        <v>240000</v>
      </c>
      <c r="I612">
        <v>240000</v>
      </c>
      <c r="J612" t="s">
        <v>144</v>
      </c>
    </row>
    <row r="613" spans="1:10" hidden="1" x14ac:dyDescent="0.25">
      <c r="A613" s="2">
        <v>46049</v>
      </c>
      <c r="B613" t="s">
        <v>50</v>
      </c>
      <c r="C613" t="s">
        <v>51</v>
      </c>
      <c r="D613" t="s">
        <v>52</v>
      </c>
      <c r="H613">
        <v>240000</v>
      </c>
      <c r="I613">
        <v>240000</v>
      </c>
      <c r="J613" t="s">
        <v>144</v>
      </c>
    </row>
    <row r="614" spans="1:10" hidden="1" x14ac:dyDescent="0.25">
      <c r="A614" s="2">
        <v>46057</v>
      </c>
      <c r="B614" t="s">
        <v>50</v>
      </c>
      <c r="C614" t="s">
        <v>51</v>
      </c>
      <c r="D614" t="s">
        <v>52</v>
      </c>
      <c r="H614">
        <v>240000</v>
      </c>
      <c r="I614">
        <v>240000</v>
      </c>
      <c r="J614" t="s">
        <v>144</v>
      </c>
    </row>
    <row r="615" spans="1:10" hidden="1" x14ac:dyDescent="0.25">
      <c r="A615" s="2">
        <v>46065</v>
      </c>
      <c r="B615" t="s">
        <v>50</v>
      </c>
      <c r="C615" t="s">
        <v>51</v>
      </c>
      <c r="D615" t="s">
        <v>52</v>
      </c>
      <c r="H615">
        <v>240000</v>
      </c>
      <c r="I615">
        <v>240000</v>
      </c>
      <c r="J615" t="s">
        <v>144</v>
      </c>
    </row>
    <row r="616" spans="1:10" hidden="1" x14ac:dyDescent="0.25">
      <c r="A616" s="2">
        <v>46073</v>
      </c>
      <c r="B616" t="s">
        <v>50</v>
      </c>
      <c r="C616" t="s">
        <v>51</v>
      </c>
      <c r="D616" t="s">
        <v>52</v>
      </c>
      <c r="H616">
        <v>240000</v>
      </c>
      <c r="I616">
        <v>240000</v>
      </c>
      <c r="J616" t="s">
        <v>144</v>
      </c>
    </row>
    <row r="617" spans="1:10" hidden="1" x14ac:dyDescent="0.25">
      <c r="A617" s="2">
        <v>46080</v>
      </c>
      <c r="B617" t="s">
        <v>50</v>
      </c>
      <c r="C617" t="s">
        <v>51</v>
      </c>
      <c r="D617" t="s">
        <v>52</v>
      </c>
      <c r="H617">
        <v>240000</v>
      </c>
      <c r="I617">
        <v>240000</v>
      </c>
      <c r="J617" t="s">
        <v>144</v>
      </c>
    </row>
    <row r="618" spans="1:10" hidden="1" x14ac:dyDescent="0.25">
      <c r="A618" s="2">
        <v>46089</v>
      </c>
      <c r="B618" t="s">
        <v>50</v>
      </c>
      <c r="C618" t="s">
        <v>51</v>
      </c>
      <c r="D618" t="s">
        <v>52</v>
      </c>
      <c r="H618">
        <v>240000</v>
      </c>
      <c r="I618">
        <v>240000</v>
      </c>
      <c r="J618" t="s">
        <v>144</v>
      </c>
    </row>
    <row r="619" spans="1:10" hidden="1" x14ac:dyDescent="0.25">
      <c r="A619" s="2">
        <v>46098</v>
      </c>
      <c r="B619" t="s">
        <v>50</v>
      </c>
      <c r="C619" t="s">
        <v>51</v>
      </c>
      <c r="D619" t="s">
        <v>52</v>
      </c>
      <c r="H619">
        <v>240000</v>
      </c>
      <c r="I619">
        <v>240000</v>
      </c>
      <c r="J619" t="s">
        <v>144</v>
      </c>
    </row>
    <row r="620" spans="1:10" hidden="1" x14ac:dyDescent="0.25">
      <c r="A620" s="2">
        <v>46104</v>
      </c>
      <c r="B620" t="s">
        <v>50</v>
      </c>
      <c r="C620" t="s">
        <v>51</v>
      </c>
      <c r="D620" t="s">
        <v>52</v>
      </c>
      <c r="H620">
        <v>240000</v>
      </c>
      <c r="I620">
        <v>240000</v>
      </c>
      <c r="J620" t="s">
        <v>144</v>
      </c>
    </row>
    <row r="621" spans="1:10" hidden="1" x14ac:dyDescent="0.25">
      <c r="A621" s="2">
        <v>46110</v>
      </c>
      <c r="B621" t="s">
        <v>50</v>
      </c>
      <c r="C621" t="s">
        <v>51</v>
      </c>
      <c r="D621" t="s">
        <v>52</v>
      </c>
      <c r="H621">
        <v>240000</v>
      </c>
      <c r="I621">
        <v>240000</v>
      </c>
      <c r="J621" t="s">
        <v>144</v>
      </c>
    </row>
    <row r="622" spans="1:10" hidden="1" x14ac:dyDescent="0.25">
      <c r="A622" s="2">
        <v>46121</v>
      </c>
      <c r="B622" t="s">
        <v>50</v>
      </c>
      <c r="C622" t="s">
        <v>51</v>
      </c>
      <c r="D622" t="s">
        <v>52</v>
      </c>
      <c r="H622">
        <v>240000</v>
      </c>
      <c r="I622">
        <v>240000</v>
      </c>
      <c r="J622" t="s">
        <v>144</v>
      </c>
    </row>
    <row r="623" spans="1:10" hidden="1" x14ac:dyDescent="0.25">
      <c r="A623" s="2">
        <v>46133</v>
      </c>
      <c r="B623" t="s">
        <v>50</v>
      </c>
      <c r="C623" t="s">
        <v>51</v>
      </c>
      <c r="D623" t="s">
        <v>52</v>
      </c>
      <c r="H623">
        <v>240000</v>
      </c>
      <c r="I623">
        <v>240000</v>
      </c>
      <c r="J623" t="s">
        <v>144</v>
      </c>
    </row>
    <row r="624" spans="1:10" hidden="1" x14ac:dyDescent="0.25">
      <c r="A624" s="2">
        <v>46141</v>
      </c>
      <c r="B624" t="s">
        <v>50</v>
      </c>
      <c r="C624" t="s">
        <v>51</v>
      </c>
      <c r="D624" t="s">
        <v>52</v>
      </c>
      <c r="H624">
        <v>240000</v>
      </c>
      <c r="I624">
        <v>240000</v>
      </c>
      <c r="J624" t="s">
        <v>144</v>
      </c>
    </row>
    <row r="625" spans="1:10" hidden="1" x14ac:dyDescent="0.25">
      <c r="A625" s="2">
        <v>46151</v>
      </c>
      <c r="B625" t="s">
        <v>50</v>
      </c>
      <c r="C625" t="s">
        <v>51</v>
      </c>
      <c r="D625" t="s">
        <v>52</v>
      </c>
      <c r="H625">
        <v>240000</v>
      </c>
      <c r="I625">
        <v>240000</v>
      </c>
      <c r="J625" t="s">
        <v>144</v>
      </c>
    </row>
    <row r="626" spans="1:10" hidden="1" x14ac:dyDescent="0.25">
      <c r="A626" s="2">
        <v>46161</v>
      </c>
      <c r="B626" t="s">
        <v>50</v>
      </c>
      <c r="C626" t="s">
        <v>51</v>
      </c>
      <c r="D626" t="s">
        <v>52</v>
      </c>
      <c r="H626">
        <v>240000</v>
      </c>
      <c r="I626">
        <v>240000</v>
      </c>
      <c r="J626" t="s">
        <v>144</v>
      </c>
    </row>
    <row r="627" spans="1:10" hidden="1" x14ac:dyDescent="0.25">
      <c r="A627" s="2">
        <v>46171</v>
      </c>
      <c r="B627" t="s">
        <v>50</v>
      </c>
      <c r="C627" t="s">
        <v>51</v>
      </c>
      <c r="D627" t="s">
        <v>52</v>
      </c>
      <c r="H627">
        <v>240000</v>
      </c>
      <c r="I627">
        <v>240000</v>
      </c>
      <c r="J627" t="s">
        <v>144</v>
      </c>
    </row>
    <row r="628" spans="1:10" hidden="1" x14ac:dyDescent="0.25">
      <c r="A628" s="2">
        <v>46179</v>
      </c>
      <c r="B628" t="s">
        <v>50</v>
      </c>
      <c r="C628" t="s">
        <v>51</v>
      </c>
      <c r="D628" t="s">
        <v>52</v>
      </c>
      <c r="H628">
        <v>240000</v>
      </c>
      <c r="I628">
        <v>240000</v>
      </c>
      <c r="J628" t="s">
        <v>144</v>
      </c>
    </row>
    <row r="629" spans="1:10" hidden="1" x14ac:dyDescent="0.25">
      <c r="A629" s="2">
        <v>46185</v>
      </c>
      <c r="B629" t="s">
        <v>50</v>
      </c>
      <c r="C629" t="s">
        <v>51</v>
      </c>
      <c r="D629" t="s">
        <v>52</v>
      </c>
      <c r="H629">
        <v>240000</v>
      </c>
      <c r="I629">
        <v>240000</v>
      </c>
      <c r="J629" t="s">
        <v>144</v>
      </c>
    </row>
    <row r="630" spans="1:10" hidden="1" x14ac:dyDescent="0.25">
      <c r="A630" s="2">
        <v>46194</v>
      </c>
      <c r="B630" t="s">
        <v>50</v>
      </c>
      <c r="C630" t="s">
        <v>51</v>
      </c>
      <c r="D630" t="s">
        <v>52</v>
      </c>
      <c r="H630">
        <v>240000</v>
      </c>
      <c r="I630">
        <v>240000</v>
      </c>
      <c r="J630" t="s">
        <v>144</v>
      </c>
    </row>
    <row r="631" spans="1:10" hidden="1" x14ac:dyDescent="0.25">
      <c r="A631" s="2">
        <v>46202</v>
      </c>
      <c r="B631" t="s">
        <v>50</v>
      </c>
      <c r="C631" t="s">
        <v>51</v>
      </c>
      <c r="D631" t="s">
        <v>52</v>
      </c>
      <c r="H631">
        <v>240000</v>
      </c>
      <c r="I631">
        <v>240000</v>
      </c>
      <c r="J631" t="s">
        <v>144</v>
      </c>
    </row>
    <row r="632" spans="1:10" hidden="1" x14ac:dyDescent="0.25">
      <c r="A632" s="2">
        <v>46212</v>
      </c>
      <c r="B632" t="s">
        <v>50</v>
      </c>
      <c r="C632" t="s">
        <v>51</v>
      </c>
      <c r="D632" t="s">
        <v>52</v>
      </c>
      <c r="H632">
        <v>240000</v>
      </c>
      <c r="I632">
        <v>240000</v>
      </c>
      <c r="J632" t="s">
        <v>144</v>
      </c>
    </row>
    <row r="633" spans="1:10" hidden="1" x14ac:dyDescent="0.25">
      <c r="A633" s="2">
        <v>46220</v>
      </c>
      <c r="B633" t="s">
        <v>50</v>
      </c>
      <c r="C633" t="s">
        <v>51</v>
      </c>
      <c r="D633" t="s">
        <v>52</v>
      </c>
      <c r="H633">
        <v>240000</v>
      </c>
      <c r="I633">
        <v>240000</v>
      </c>
      <c r="J633" t="s">
        <v>144</v>
      </c>
    </row>
    <row r="634" spans="1:10" hidden="1" x14ac:dyDescent="0.25">
      <c r="A634" s="2">
        <v>45804</v>
      </c>
      <c r="B634" t="s">
        <v>54</v>
      </c>
      <c r="C634" t="s">
        <v>55</v>
      </c>
      <c r="D634" t="s">
        <v>56</v>
      </c>
      <c r="H634">
        <v>240000</v>
      </c>
      <c r="I634">
        <v>240000</v>
      </c>
      <c r="J634" t="s">
        <v>144</v>
      </c>
    </row>
    <row r="635" spans="1:10" hidden="1" x14ac:dyDescent="0.25">
      <c r="A635" s="2">
        <v>45818</v>
      </c>
      <c r="B635" t="s">
        <v>54</v>
      </c>
      <c r="C635" t="s">
        <v>55</v>
      </c>
      <c r="D635" t="s">
        <v>56</v>
      </c>
      <c r="H635">
        <v>240000</v>
      </c>
      <c r="I635">
        <v>240000</v>
      </c>
      <c r="J635" t="s">
        <v>144</v>
      </c>
    </row>
    <row r="636" spans="1:10" hidden="1" x14ac:dyDescent="0.25">
      <c r="A636" s="2">
        <v>45832</v>
      </c>
      <c r="B636" t="s">
        <v>54</v>
      </c>
      <c r="C636" t="s">
        <v>55</v>
      </c>
      <c r="D636" t="s">
        <v>56</v>
      </c>
      <c r="H636">
        <v>240000</v>
      </c>
      <c r="I636">
        <v>240000</v>
      </c>
      <c r="J636" t="s">
        <v>144</v>
      </c>
    </row>
    <row r="637" spans="1:10" hidden="1" x14ac:dyDescent="0.25">
      <c r="A637" s="2">
        <v>45846</v>
      </c>
      <c r="B637" t="s">
        <v>54</v>
      </c>
      <c r="C637" t="s">
        <v>55</v>
      </c>
      <c r="D637" t="s">
        <v>56</v>
      </c>
      <c r="H637">
        <v>240000</v>
      </c>
      <c r="I637">
        <v>240000</v>
      </c>
      <c r="J637" t="s">
        <v>144</v>
      </c>
    </row>
    <row r="638" spans="1:10" hidden="1" x14ac:dyDescent="0.25">
      <c r="A638" s="2">
        <v>45860</v>
      </c>
      <c r="B638" t="s">
        <v>54</v>
      </c>
      <c r="C638" t="s">
        <v>55</v>
      </c>
      <c r="D638" t="s">
        <v>56</v>
      </c>
      <c r="H638">
        <v>240000</v>
      </c>
      <c r="I638">
        <v>240000</v>
      </c>
      <c r="J638" t="s">
        <v>144</v>
      </c>
    </row>
    <row r="639" spans="1:10" hidden="1" x14ac:dyDescent="0.25">
      <c r="A639" s="2">
        <v>45874</v>
      </c>
      <c r="B639" t="s">
        <v>54</v>
      </c>
      <c r="C639" t="s">
        <v>55</v>
      </c>
      <c r="D639" t="s">
        <v>56</v>
      </c>
      <c r="H639">
        <v>240000</v>
      </c>
      <c r="I639">
        <v>240000</v>
      </c>
      <c r="J639" t="s">
        <v>144</v>
      </c>
    </row>
    <row r="640" spans="1:10" hidden="1" x14ac:dyDescent="0.25">
      <c r="A640" s="2">
        <v>45888</v>
      </c>
      <c r="B640" t="s">
        <v>54</v>
      </c>
      <c r="C640" t="s">
        <v>55</v>
      </c>
      <c r="D640" t="s">
        <v>56</v>
      </c>
      <c r="H640">
        <v>240000</v>
      </c>
      <c r="I640">
        <v>240000</v>
      </c>
      <c r="J640" t="s">
        <v>144</v>
      </c>
    </row>
    <row r="641" spans="1:10" hidden="1" x14ac:dyDescent="0.25">
      <c r="A641" s="2">
        <v>45902</v>
      </c>
      <c r="B641" t="s">
        <v>54</v>
      </c>
      <c r="C641" t="s">
        <v>55</v>
      </c>
      <c r="D641" t="s">
        <v>56</v>
      </c>
      <c r="H641">
        <v>240000</v>
      </c>
      <c r="I641">
        <v>240000</v>
      </c>
      <c r="J641" t="s">
        <v>144</v>
      </c>
    </row>
    <row r="642" spans="1:10" hidden="1" x14ac:dyDescent="0.25">
      <c r="A642" s="2">
        <v>45916</v>
      </c>
      <c r="B642" t="s">
        <v>54</v>
      </c>
      <c r="C642" t="s">
        <v>55</v>
      </c>
      <c r="D642" t="s">
        <v>56</v>
      </c>
      <c r="H642">
        <v>240000</v>
      </c>
      <c r="I642">
        <v>240000</v>
      </c>
      <c r="J642" t="s">
        <v>144</v>
      </c>
    </row>
    <row r="643" spans="1:10" hidden="1" x14ac:dyDescent="0.25">
      <c r="A643" s="2">
        <v>45930</v>
      </c>
      <c r="B643" t="s">
        <v>54</v>
      </c>
      <c r="C643" t="s">
        <v>55</v>
      </c>
      <c r="D643" t="s">
        <v>56</v>
      </c>
      <c r="H643">
        <v>240000</v>
      </c>
      <c r="I643">
        <v>240000</v>
      </c>
      <c r="J643" t="s">
        <v>144</v>
      </c>
    </row>
    <row r="644" spans="1:10" hidden="1" x14ac:dyDescent="0.25">
      <c r="A644" s="2">
        <v>45944</v>
      </c>
      <c r="B644" t="s">
        <v>54</v>
      </c>
      <c r="C644" t="s">
        <v>55</v>
      </c>
      <c r="D644" t="s">
        <v>56</v>
      </c>
      <c r="H644">
        <v>240000</v>
      </c>
      <c r="I644">
        <v>240000</v>
      </c>
      <c r="J644" t="s">
        <v>144</v>
      </c>
    </row>
    <row r="645" spans="1:10" hidden="1" x14ac:dyDescent="0.25">
      <c r="A645" s="2">
        <v>45958</v>
      </c>
      <c r="B645" t="s">
        <v>54</v>
      </c>
      <c r="C645" t="s">
        <v>55</v>
      </c>
      <c r="D645" t="s">
        <v>56</v>
      </c>
      <c r="H645">
        <v>240000</v>
      </c>
      <c r="I645">
        <v>240000</v>
      </c>
      <c r="J645" t="s">
        <v>144</v>
      </c>
    </row>
    <row r="646" spans="1:10" hidden="1" x14ac:dyDescent="0.25">
      <c r="A646" s="2">
        <v>45972</v>
      </c>
      <c r="B646" t="s">
        <v>54</v>
      </c>
      <c r="C646" t="s">
        <v>55</v>
      </c>
      <c r="D646" t="s">
        <v>56</v>
      </c>
      <c r="H646">
        <v>240000</v>
      </c>
      <c r="I646">
        <v>240000</v>
      </c>
      <c r="J646" t="s">
        <v>144</v>
      </c>
    </row>
    <row r="647" spans="1:10" hidden="1" x14ac:dyDescent="0.25">
      <c r="A647" s="2">
        <v>45986</v>
      </c>
      <c r="B647" t="s">
        <v>54</v>
      </c>
      <c r="C647" t="s">
        <v>55</v>
      </c>
      <c r="D647" t="s">
        <v>56</v>
      </c>
      <c r="H647">
        <v>240000</v>
      </c>
      <c r="I647">
        <v>240000</v>
      </c>
      <c r="J647" t="s">
        <v>144</v>
      </c>
    </row>
    <row r="648" spans="1:10" hidden="1" x14ac:dyDescent="0.25">
      <c r="A648" s="2">
        <v>46000</v>
      </c>
      <c r="B648" t="s">
        <v>54</v>
      </c>
      <c r="C648" t="s">
        <v>55</v>
      </c>
      <c r="D648" t="s">
        <v>56</v>
      </c>
      <c r="H648">
        <v>240000</v>
      </c>
      <c r="I648">
        <v>240000</v>
      </c>
      <c r="J648" t="s">
        <v>144</v>
      </c>
    </row>
    <row r="649" spans="1:10" hidden="1" x14ac:dyDescent="0.25">
      <c r="A649" s="2">
        <v>46014</v>
      </c>
      <c r="B649" t="s">
        <v>54</v>
      </c>
      <c r="C649" t="s">
        <v>55</v>
      </c>
      <c r="D649" t="s">
        <v>56</v>
      </c>
      <c r="H649">
        <v>240000</v>
      </c>
      <c r="I649">
        <v>240000</v>
      </c>
      <c r="J649" t="s">
        <v>144</v>
      </c>
    </row>
    <row r="650" spans="1:10" hidden="1" x14ac:dyDescent="0.25">
      <c r="A650" s="2">
        <v>46028</v>
      </c>
      <c r="B650" t="s">
        <v>54</v>
      </c>
      <c r="C650" t="s">
        <v>55</v>
      </c>
      <c r="D650" t="s">
        <v>56</v>
      </c>
      <c r="H650">
        <v>240000</v>
      </c>
      <c r="I650">
        <v>240000</v>
      </c>
      <c r="J650" t="s">
        <v>144</v>
      </c>
    </row>
    <row r="651" spans="1:10" hidden="1" x14ac:dyDescent="0.25">
      <c r="A651" s="2">
        <v>46042</v>
      </c>
      <c r="B651" t="s">
        <v>54</v>
      </c>
      <c r="C651" t="s">
        <v>55</v>
      </c>
      <c r="D651" t="s">
        <v>56</v>
      </c>
      <c r="H651">
        <v>240000</v>
      </c>
      <c r="I651">
        <v>240000</v>
      </c>
      <c r="J651" t="s">
        <v>144</v>
      </c>
    </row>
    <row r="652" spans="1:10" hidden="1" x14ac:dyDescent="0.25">
      <c r="A652" s="2">
        <v>46056</v>
      </c>
      <c r="B652" t="s">
        <v>54</v>
      </c>
      <c r="C652" t="s">
        <v>55</v>
      </c>
      <c r="D652" t="s">
        <v>56</v>
      </c>
      <c r="H652">
        <v>240000</v>
      </c>
      <c r="I652">
        <v>240000</v>
      </c>
      <c r="J652" t="s">
        <v>144</v>
      </c>
    </row>
    <row r="653" spans="1:10" hidden="1" x14ac:dyDescent="0.25">
      <c r="A653" s="2">
        <v>46070</v>
      </c>
      <c r="B653" t="s">
        <v>54</v>
      </c>
      <c r="C653" t="s">
        <v>55</v>
      </c>
      <c r="D653" t="s">
        <v>56</v>
      </c>
      <c r="H653">
        <v>240000</v>
      </c>
      <c r="I653">
        <v>240000</v>
      </c>
      <c r="J653" t="s">
        <v>144</v>
      </c>
    </row>
    <row r="654" spans="1:10" hidden="1" x14ac:dyDescent="0.25">
      <c r="A654" s="2">
        <v>46084</v>
      </c>
      <c r="B654" t="s">
        <v>54</v>
      </c>
      <c r="C654" t="s">
        <v>55</v>
      </c>
      <c r="D654" t="s">
        <v>56</v>
      </c>
      <c r="H654">
        <v>240000</v>
      </c>
      <c r="I654">
        <v>240000</v>
      </c>
      <c r="J654" t="s">
        <v>144</v>
      </c>
    </row>
    <row r="655" spans="1:10" hidden="1" x14ac:dyDescent="0.25">
      <c r="A655" s="2">
        <v>46098</v>
      </c>
      <c r="B655" t="s">
        <v>54</v>
      </c>
      <c r="C655" t="s">
        <v>55</v>
      </c>
      <c r="D655" t="s">
        <v>56</v>
      </c>
      <c r="H655">
        <v>240000</v>
      </c>
      <c r="I655">
        <v>240000</v>
      </c>
      <c r="J655" t="s">
        <v>144</v>
      </c>
    </row>
    <row r="656" spans="1:10" hidden="1" x14ac:dyDescent="0.25">
      <c r="A656" s="2">
        <v>46112</v>
      </c>
      <c r="B656" t="s">
        <v>54</v>
      </c>
      <c r="C656" t="s">
        <v>55</v>
      </c>
      <c r="D656" t="s">
        <v>56</v>
      </c>
      <c r="H656">
        <v>240000</v>
      </c>
      <c r="I656">
        <v>240000</v>
      </c>
      <c r="J656" t="s">
        <v>144</v>
      </c>
    </row>
    <row r="657" spans="1:10" hidden="1" x14ac:dyDescent="0.25">
      <c r="A657" s="2">
        <v>46126</v>
      </c>
      <c r="B657" t="s">
        <v>54</v>
      </c>
      <c r="C657" t="s">
        <v>55</v>
      </c>
      <c r="D657" t="s">
        <v>56</v>
      </c>
      <c r="H657">
        <v>240000</v>
      </c>
      <c r="I657">
        <v>240000</v>
      </c>
      <c r="J657" t="s">
        <v>144</v>
      </c>
    </row>
    <row r="658" spans="1:10" hidden="1" x14ac:dyDescent="0.25">
      <c r="A658" s="2">
        <v>46140</v>
      </c>
      <c r="B658" t="s">
        <v>54</v>
      </c>
      <c r="C658" t="s">
        <v>55</v>
      </c>
      <c r="D658" t="s">
        <v>56</v>
      </c>
      <c r="H658">
        <v>240000</v>
      </c>
      <c r="I658">
        <v>240000</v>
      </c>
      <c r="J658" t="s">
        <v>144</v>
      </c>
    </row>
    <row r="659" spans="1:10" hidden="1" x14ac:dyDescent="0.25">
      <c r="A659" s="2">
        <v>46154</v>
      </c>
      <c r="B659" t="s">
        <v>54</v>
      </c>
      <c r="C659" t="s">
        <v>55</v>
      </c>
      <c r="D659" t="s">
        <v>56</v>
      </c>
      <c r="H659">
        <v>240000</v>
      </c>
      <c r="I659">
        <v>240000</v>
      </c>
      <c r="J659" t="s">
        <v>144</v>
      </c>
    </row>
    <row r="660" spans="1:10" hidden="1" x14ac:dyDescent="0.25">
      <c r="A660" s="2">
        <v>46168</v>
      </c>
      <c r="B660" t="s">
        <v>54</v>
      </c>
      <c r="C660" t="s">
        <v>55</v>
      </c>
      <c r="D660" t="s">
        <v>56</v>
      </c>
      <c r="H660">
        <v>240000</v>
      </c>
      <c r="I660">
        <v>240000</v>
      </c>
      <c r="J660" t="s">
        <v>144</v>
      </c>
    </row>
    <row r="661" spans="1:10" hidden="1" x14ac:dyDescent="0.25">
      <c r="A661" s="2">
        <v>46182</v>
      </c>
      <c r="B661" t="s">
        <v>54</v>
      </c>
      <c r="C661" t="s">
        <v>55</v>
      </c>
      <c r="D661" t="s">
        <v>56</v>
      </c>
      <c r="H661">
        <v>240000</v>
      </c>
      <c r="I661">
        <v>240000</v>
      </c>
      <c r="J661" t="s">
        <v>144</v>
      </c>
    </row>
    <row r="662" spans="1:10" hidden="1" x14ac:dyDescent="0.25">
      <c r="A662" s="2">
        <v>46201</v>
      </c>
      <c r="B662" t="s">
        <v>54</v>
      </c>
      <c r="C662" t="s">
        <v>55</v>
      </c>
      <c r="D662" t="s">
        <v>56</v>
      </c>
      <c r="H662">
        <v>240000</v>
      </c>
      <c r="I662">
        <v>240000</v>
      </c>
      <c r="J662" t="s">
        <v>144</v>
      </c>
    </row>
    <row r="663" spans="1:10" hidden="1" x14ac:dyDescent="0.25">
      <c r="A663" s="2">
        <v>45769</v>
      </c>
      <c r="B663" t="s">
        <v>58</v>
      </c>
      <c r="C663" t="s">
        <v>59</v>
      </c>
      <c r="D663" t="s">
        <v>60</v>
      </c>
      <c r="H663">
        <v>240000</v>
      </c>
      <c r="I663">
        <v>240000</v>
      </c>
      <c r="J663" t="s">
        <v>144</v>
      </c>
    </row>
    <row r="664" spans="1:10" hidden="1" x14ac:dyDescent="0.25">
      <c r="A664" s="2">
        <v>45777</v>
      </c>
      <c r="B664" t="s">
        <v>58</v>
      </c>
      <c r="C664" t="s">
        <v>59</v>
      </c>
      <c r="D664" t="s">
        <v>60</v>
      </c>
      <c r="H664">
        <v>240000</v>
      </c>
      <c r="I664">
        <v>240000</v>
      </c>
      <c r="J664" t="s">
        <v>144</v>
      </c>
    </row>
    <row r="665" spans="1:10" hidden="1" x14ac:dyDescent="0.25">
      <c r="A665" s="2">
        <v>45785</v>
      </c>
      <c r="B665" t="s">
        <v>58</v>
      </c>
      <c r="C665" t="s">
        <v>59</v>
      </c>
      <c r="D665" t="s">
        <v>60</v>
      </c>
      <c r="H665">
        <v>240000</v>
      </c>
      <c r="I665">
        <v>240000</v>
      </c>
      <c r="J665" t="s">
        <v>144</v>
      </c>
    </row>
    <row r="666" spans="1:10" hidden="1" x14ac:dyDescent="0.25">
      <c r="A666" s="2">
        <v>45793</v>
      </c>
      <c r="B666" t="s">
        <v>58</v>
      </c>
      <c r="C666" t="s">
        <v>59</v>
      </c>
      <c r="D666" t="s">
        <v>60</v>
      </c>
      <c r="H666">
        <v>240000</v>
      </c>
      <c r="I666">
        <v>240000</v>
      </c>
      <c r="J666" t="s">
        <v>144</v>
      </c>
    </row>
    <row r="667" spans="1:10" hidden="1" x14ac:dyDescent="0.25">
      <c r="A667" s="2">
        <v>45802</v>
      </c>
      <c r="B667" t="s">
        <v>58</v>
      </c>
      <c r="C667" t="s">
        <v>59</v>
      </c>
      <c r="D667" t="s">
        <v>60</v>
      </c>
      <c r="H667">
        <v>240000</v>
      </c>
      <c r="I667">
        <v>240000</v>
      </c>
      <c r="J667" t="s">
        <v>144</v>
      </c>
    </row>
    <row r="668" spans="1:10" hidden="1" x14ac:dyDescent="0.25">
      <c r="A668" s="2">
        <v>45810</v>
      </c>
      <c r="B668" t="s">
        <v>58</v>
      </c>
      <c r="C668" t="s">
        <v>59</v>
      </c>
      <c r="D668" t="s">
        <v>60</v>
      </c>
      <c r="H668">
        <v>240000</v>
      </c>
      <c r="I668">
        <v>240000</v>
      </c>
      <c r="J668" t="s">
        <v>144</v>
      </c>
    </row>
    <row r="669" spans="1:10" hidden="1" x14ac:dyDescent="0.25">
      <c r="A669" s="2">
        <v>45819</v>
      </c>
      <c r="B669" t="s">
        <v>58</v>
      </c>
      <c r="C669" t="s">
        <v>59</v>
      </c>
      <c r="D669" t="s">
        <v>60</v>
      </c>
      <c r="H669">
        <v>240000</v>
      </c>
      <c r="I669">
        <v>240000</v>
      </c>
      <c r="J669" t="s">
        <v>144</v>
      </c>
    </row>
    <row r="670" spans="1:10" hidden="1" x14ac:dyDescent="0.25">
      <c r="A670" s="2">
        <v>45826</v>
      </c>
      <c r="B670" t="s">
        <v>58</v>
      </c>
      <c r="C670" t="s">
        <v>59</v>
      </c>
      <c r="D670" t="s">
        <v>60</v>
      </c>
      <c r="H670">
        <v>240000</v>
      </c>
      <c r="I670">
        <v>240000</v>
      </c>
      <c r="J670" t="s">
        <v>144</v>
      </c>
    </row>
    <row r="671" spans="1:10" hidden="1" x14ac:dyDescent="0.25">
      <c r="A671" s="2">
        <v>45833</v>
      </c>
      <c r="B671" t="s">
        <v>58</v>
      </c>
      <c r="C671" t="s">
        <v>59</v>
      </c>
      <c r="D671" t="s">
        <v>60</v>
      </c>
      <c r="H671">
        <v>240000</v>
      </c>
      <c r="I671">
        <v>240000</v>
      </c>
      <c r="J671" t="s">
        <v>144</v>
      </c>
    </row>
    <row r="672" spans="1:10" hidden="1" x14ac:dyDescent="0.25">
      <c r="A672" s="2">
        <v>45840</v>
      </c>
      <c r="B672" t="s">
        <v>58</v>
      </c>
      <c r="C672" t="s">
        <v>59</v>
      </c>
      <c r="D672" t="s">
        <v>60</v>
      </c>
      <c r="H672">
        <v>240000</v>
      </c>
      <c r="I672">
        <v>240000</v>
      </c>
      <c r="J672" t="s">
        <v>144</v>
      </c>
    </row>
    <row r="673" spans="1:10" hidden="1" x14ac:dyDescent="0.25">
      <c r="A673" s="2">
        <v>45849</v>
      </c>
      <c r="B673" t="s">
        <v>58</v>
      </c>
      <c r="C673" t="s">
        <v>59</v>
      </c>
      <c r="D673" t="s">
        <v>60</v>
      </c>
      <c r="H673">
        <v>240000</v>
      </c>
      <c r="I673">
        <v>240000</v>
      </c>
      <c r="J673" t="s">
        <v>144</v>
      </c>
    </row>
    <row r="674" spans="1:10" hidden="1" x14ac:dyDescent="0.25">
      <c r="A674" s="2">
        <v>45857</v>
      </c>
      <c r="B674" t="s">
        <v>58</v>
      </c>
      <c r="C674" t="s">
        <v>59</v>
      </c>
      <c r="D674" t="s">
        <v>60</v>
      </c>
      <c r="H674">
        <v>240000</v>
      </c>
      <c r="I674">
        <v>240000</v>
      </c>
      <c r="J674" t="s">
        <v>144</v>
      </c>
    </row>
    <row r="675" spans="1:10" hidden="1" x14ac:dyDescent="0.25">
      <c r="A675" s="2">
        <v>45864</v>
      </c>
      <c r="B675" t="s">
        <v>58</v>
      </c>
      <c r="C675" t="s">
        <v>59</v>
      </c>
      <c r="D675" t="s">
        <v>60</v>
      </c>
      <c r="H675">
        <v>240000</v>
      </c>
      <c r="I675">
        <v>240000</v>
      </c>
      <c r="J675" t="s">
        <v>144</v>
      </c>
    </row>
    <row r="676" spans="1:10" hidden="1" x14ac:dyDescent="0.25">
      <c r="A676" s="2">
        <v>45871</v>
      </c>
      <c r="B676" t="s">
        <v>58</v>
      </c>
      <c r="C676" t="s">
        <v>59</v>
      </c>
      <c r="D676" t="s">
        <v>60</v>
      </c>
      <c r="H676">
        <v>240000</v>
      </c>
      <c r="I676">
        <v>240000</v>
      </c>
      <c r="J676" t="s">
        <v>144</v>
      </c>
    </row>
    <row r="677" spans="1:10" hidden="1" x14ac:dyDescent="0.25">
      <c r="A677" s="2">
        <v>45879</v>
      </c>
      <c r="B677" t="s">
        <v>58</v>
      </c>
      <c r="C677" t="s">
        <v>59</v>
      </c>
      <c r="D677" t="s">
        <v>60</v>
      </c>
      <c r="H677">
        <v>240000</v>
      </c>
      <c r="I677">
        <v>240000</v>
      </c>
      <c r="J677" t="s">
        <v>144</v>
      </c>
    </row>
    <row r="678" spans="1:10" hidden="1" x14ac:dyDescent="0.25">
      <c r="A678" s="2">
        <v>45887</v>
      </c>
      <c r="B678" t="s">
        <v>58</v>
      </c>
      <c r="C678" t="s">
        <v>59</v>
      </c>
      <c r="D678" t="s">
        <v>60</v>
      </c>
      <c r="H678">
        <v>240000</v>
      </c>
      <c r="I678">
        <v>240000</v>
      </c>
      <c r="J678" t="s">
        <v>144</v>
      </c>
    </row>
    <row r="679" spans="1:10" hidden="1" x14ac:dyDescent="0.25">
      <c r="A679" s="2">
        <v>45895</v>
      </c>
      <c r="B679" t="s">
        <v>58</v>
      </c>
      <c r="C679" t="s">
        <v>59</v>
      </c>
      <c r="D679" t="s">
        <v>60</v>
      </c>
      <c r="H679">
        <v>240000</v>
      </c>
      <c r="I679">
        <v>240000</v>
      </c>
      <c r="J679" t="s">
        <v>144</v>
      </c>
    </row>
    <row r="680" spans="1:10" hidden="1" x14ac:dyDescent="0.25">
      <c r="A680" s="2">
        <v>45903</v>
      </c>
      <c r="B680" t="s">
        <v>58</v>
      </c>
      <c r="C680" t="s">
        <v>59</v>
      </c>
      <c r="D680" t="s">
        <v>60</v>
      </c>
      <c r="H680">
        <v>240000</v>
      </c>
      <c r="I680">
        <v>240000</v>
      </c>
      <c r="J680" t="s">
        <v>144</v>
      </c>
    </row>
    <row r="681" spans="1:10" hidden="1" x14ac:dyDescent="0.25">
      <c r="A681" s="2">
        <v>45911</v>
      </c>
      <c r="B681" t="s">
        <v>58</v>
      </c>
      <c r="C681" t="s">
        <v>59</v>
      </c>
      <c r="D681" t="s">
        <v>60</v>
      </c>
      <c r="H681">
        <v>240000</v>
      </c>
      <c r="I681">
        <v>240000</v>
      </c>
      <c r="J681" t="s">
        <v>144</v>
      </c>
    </row>
    <row r="682" spans="1:10" hidden="1" x14ac:dyDescent="0.25">
      <c r="A682" s="2">
        <v>45918</v>
      </c>
      <c r="B682" t="s">
        <v>58</v>
      </c>
      <c r="C682" t="s">
        <v>59</v>
      </c>
      <c r="D682" t="s">
        <v>60</v>
      </c>
      <c r="H682">
        <v>240000</v>
      </c>
      <c r="I682">
        <v>240000</v>
      </c>
      <c r="J682" t="s">
        <v>144</v>
      </c>
    </row>
    <row r="683" spans="1:10" hidden="1" x14ac:dyDescent="0.25">
      <c r="A683" s="2">
        <v>45925</v>
      </c>
      <c r="B683" t="s">
        <v>58</v>
      </c>
      <c r="C683" t="s">
        <v>59</v>
      </c>
      <c r="D683" t="s">
        <v>60</v>
      </c>
      <c r="H683">
        <v>240000</v>
      </c>
      <c r="I683">
        <v>240000</v>
      </c>
      <c r="J683" t="s">
        <v>144</v>
      </c>
    </row>
    <row r="684" spans="1:10" hidden="1" x14ac:dyDescent="0.25">
      <c r="A684" s="2">
        <v>45932</v>
      </c>
      <c r="B684" t="s">
        <v>58</v>
      </c>
      <c r="C684" t="s">
        <v>59</v>
      </c>
      <c r="D684" t="s">
        <v>60</v>
      </c>
      <c r="H684">
        <v>240000</v>
      </c>
      <c r="I684">
        <v>240000</v>
      </c>
      <c r="J684" t="s">
        <v>144</v>
      </c>
    </row>
    <row r="685" spans="1:10" hidden="1" x14ac:dyDescent="0.25">
      <c r="A685" s="2">
        <v>45940</v>
      </c>
      <c r="B685" t="s">
        <v>58</v>
      </c>
      <c r="C685" t="s">
        <v>59</v>
      </c>
      <c r="D685" t="s">
        <v>60</v>
      </c>
      <c r="H685">
        <v>240000</v>
      </c>
      <c r="I685">
        <v>240000</v>
      </c>
      <c r="J685" t="s">
        <v>144</v>
      </c>
    </row>
    <row r="686" spans="1:10" hidden="1" x14ac:dyDescent="0.25">
      <c r="A686" s="2">
        <v>45948</v>
      </c>
      <c r="B686" t="s">
        <v>58</v>
      </c>
      <c r="C686" t="s">
        <v>59</v>
      </c>
      <c r="D686" t="s">
        <v>60</v>
      </c>
      <c r="H686">
        <v>240000</v>
      </c>
      <c r="I686">
        <v>240000</v>
      </c>
      <c r="J686" t="s">
        <v>144</v>
      </c>
    </row>
    <row r="687" spans="1:10" hidden="1" x14ac:dyDescent="0.25">
      <c r="A687" s="2">
        <v>45955</v>
      </c>
      <c r="B687" t="s">
        <v>58</v>
      </c>
      <c r="C687" t="s">
        <v>59</v>
      </c>
      <c r="D687" t="s">
        <v>60</v>
      </c>
      <c r="H687">
        <v>240000</v>
      </c>
      <c r="I687">
        <v>240000</v>
      </c>
      <c r="J687" t="s">
        <v>144</v>
      </c>
    </row>
    <row r="688" spans="1:10" hidden="1" x14ac:dyDescent="0.25">
      <c r="A688" s="2">
        <v>45962</v>
      </c>
      <c r="B688" t="s">
        <v>58</v>
      </c>
      <c r="C688" t="s">
        <v>59</v>
      </c>
      <c r="D688" t="s">
        <v>60</v>
      </c>
      <c r="H688">
        <v>240000</v>
      </c>
      <c r="I688">
        <v>240000</v>
      </c>
      <c r="J688" t="s">
        <v>144</v>
      </c>
    </row>
    <row r="689" spans="1:10" hidden="1" x14ac:dyDescent="0.25">
      <c r="A689" s="2">
        <v>45970</v>
      </c>
      <c r="B689" t="s">
        <v>58</v>
      </c>
      <c r="C689" t="s">
        <v>59</v>
      </c>
      <c r="D689" t="s">
        <v>60</v>
      </c>
      <c r="H689">
        <v>240000</v>
      </c>
      <c r="I689">
        <v>240000</v>
      </c>
      <c r="J689" t="s">
        <v>144</v>
      </c>
    </row>
    <row r="690" spans="1:10" hidden="1" x14ac:dyDescent="0.25">
      <c r="A690" s="2">
        <v>45978</v>
      </c>
      <c r="B690" t="s">
        <v>58</v>
      </c>
      <c r="C690" t="s">
        <v>59</v>
      </c>
      <c r="D690" t="s">
        <v>60</v>
      </c>
      <c r="H690">
        <v>240000</v>
      </c>
      <c r="I690">
        <v>240000</v>
      </c>
      <c r="J690" t="s">
        <v>144</v>
      </c>
    </row>
    <row r="691" spans="1:10" hidden="1" x14ac:dyDescent="0.25">
      <c r="A691" s="2">
        <v>45986</v>
      </c>
      <c r="B691" t="s">
        <v>58</v>
      </c>
      <c r="C691" t="s">
        <v>59</v>
      </c>
      <c r="D691" t="s">
        <v>60</v>
      </c>
      <c r="H691">
        <v>240000</v>
      </c>
      <c r="I691">
        <v>240000</v>
      </c>
      <c r="J691" t="s">
        <v>144</v>
      </c>
    </row>
    <row r="692" spans="1:10" hidden="1" x14ac:dyDescent="0.25">
      <c r="A692" s="2">
        <v>45994</v>
      </c>
      <c r="B692" t="s">
        <v>58</v>
      </c>
      <c r="C692" t="s">
        <v>59</v>
      </c>
      <c r="D692" t="s">
        <v>60</v>
      </c>
      <c r="H692">
        <v>240000</v>
      </c>
      <c r="I692">
        <v>240000</v>
      </c>
      <c r="J692" t="s">
        <v>144</v>
      </c>
    </row>
    <row r="693" spans="1:10" hidden="1" x14ac:dyDescent="0.25">
      <c r="A693" s="2">
        <v>46002</v>
      </c>
      <c r="B693" t="s">
        <v>58</v>
      </c>
      <c r="C693" t="s">
        <v>59</v>
      </c>
      <c r="D693" t="s">
        <v>60</v>
      </c>
      <c r="H693">
        <v>240000</v>
      </c>
      <c r="I693">
        <v>240000</v>
      </c>
      <c r="J693" t="s">
        <v>144</v>
      </c>
    </row>
    <row r="694" spans="1:10" hidden="1" x14ac:dyDescent="0.25">
      <c r="A694" s="2">
        <v>46010</v>
      </c>
      <c r="B694" t="s">
        <v>58</v>
      </c>
      <c r="C694" t="s">
        <v>59</v>
      </c>
      <c r="D694" t="s">
        <v>60</v>
      </c>
      <c r="H694">
        <v>240000</v>
      </c>
      <c r="I694">
        <v>240000</v>
      </c>
      <c r="J694" t="s">
        <v>144</v>
      </c>
    </row>
    <row r="695" spans="1:10" hidden="1" x14ac:dyDescent="0.25">
      <c r="A695" s="2">
        <v>46018</v>
      </c>
      <c r="B695" t="s">
        <v>58</v>
      </c>
      <c r="C695" t="s">
        <v>59</v>
      </c>
      <c r="D695" t="s">
        <v>60</v>
      </c>
      <c r="H695">
        <v>240000</v>
      </c>
      <c r="I695">
        <v>240000</v>
      </c>
      <c r="J695" t="s">
        <v>144</v>
      </c>
    </row>
    <row r="696" spans="1:10" hidden="1" x14ac:dyDescent="0.25">
      <c r="A696" s="2">
        <v>46026</v>
      </c>
      <c r="B696" t="s">
        <v>58</v>
      </c>
      <c r="C696" t="s">
        <v>59</v>
      </c>
      <c r="D696" t="s">
        <v>60</v>
      </c>
      <c r="H696">
        <v>240000</v>
      </c>
      <c r="I696">
        <v>240000</v>
      </c>
      <c r="J696" t="s">
        <v>144</v>
      </c>
    </row>
    <row r="697" spans="1:10" hidden="1" x14ac:dyDescent="0.25">
      <c r="A697" s="2">
        <v>46034</v>
      </c>
      <c r="B697" t="s">
        <v>58</v>
      </c>
      <c r="C697" t="s">
        <v>59</v>
      </c>
      <c r="D697" t="s">
        <v>60</v>
      </c>
      <c r="H697">
        <v>240000</v>
      </c>
      <c r="I697">
        <v>240000</v>
      </c>
      <c r="J697" t="s">
        <v>144</v>
      </c>
    </row>
    <row r="698" spans="1:10" hidden="1" x14ac:dyDescent="0.25">
      <c r="A698" s="2">
        <v>46042</v>
      </c>
      <c r="B698" t="s">
        <v>58</v>
      </c>
      <c r="C698" t="s">
        <v>59</v>
      </c>
      <c r="D698" t="s">
        <v>60</v>
      </c>
      <c r="H698">
        <v>240000</v>
      </c>
      <c r="I698">
        <v>240000</v>
      </c>
      <c r="J698" t="s">
        <v>144</v>
      </c>
    </row>
    <row r="699" spans="1:10" hidden="1" x14ac:dyDescent="0.25">
      <c r="A699" s="2">
        <v>46050</v>
      </c>
      <c r="B699" t="s">
        <v>58</v>
      </c>
      <c r="C699" t="s">
        <v>59</v>
      </c>
      <c r="D699" t="s">
        <v>60</v>
      </c>
      <c r="H699">
        <v>240000</v>
      </c>
      <c r="I699">
        <v>240000</v>
      </c>
      <c r="J699" t="s">
        <v>144</v>
      </c>
    </row>
    <row r="700" spans="1:10" hidden="1" x14ac:dyDescent="0.25">
      <c r="A700" s="2">
        <v>46058</v>
      </c>
      <c r="B700" t="s">
        <v>58</v>
      </c>
      <c r="C700" t="s">
        <v>59</v>
      </c>
      <c r="D700" t="s">
        <v>60</v>
      </c>
      <c r="H700">
        <v>240000</v>
      </c>
      <c r="I700">
        <v>240000</v>
      </c>
      <c r="J700" t="s">
        <v>144</v>
      </c>
    </row>
    <row r="701" spans="1:10" hidden="1" x14ac:dyDescent="0.25">
      <c r="A701" s="2">
        <v>46066</v>
      </c>
      <c r="B701" t="s">
        <v>58</v>
      </c>
      <c r="C701" t="s">
        <v>59</v>
      </c>
      <c r="D701" t="s">
        <v>60</v>
      </c>
      <c r="H701">
        <v>240000</v>
      </c>
      <c r="I701">
        <v>240000</v>
      </c>
      <c r="J701" t="s">
        <v>144</v>
      </c>
    </row>
    <row r="702" spans="1:10" hidden="1" x14ac:dyDescent="0.25">
      <c r="A702" s="2">
        <v>46074</v>
      </c>
      <c r="B702" t="s">
        <v>58</v>
      </c>
      <c r="C702" t="s">
        <v>59</v>
      </c>
      <c r="D702" t="s">
        <v>60</v>
      </c>
      <c r="H702">
        <v>240000</v>
      </c>
      <c r="I702">
        <v>240000</v>
      </c>
      <c r="J702" t="s">
        <v>144</v>
      </c>
    </row>
    <row r="703" spans="1:10" hidden="1" x14ac:dyDescent="0.25">
      <c r="A703" s="2">
        <v>46082</v>
      </c>
      <c r="B703" t="s">
        <v>58</v>
      </c>
      <c r="C703" t="s">
        <v>59</v>
      </c>
      <c r="D703" t="s">
        <v>60</v>
      </c>
      <c r="H703">
        <v>240000</v>
      </c>
      <c r="I703">
        <v>240000</v>
      </c>
      <c r="J703" t="s">
        <v>144</v>
      </c>
    </row>
    <row r="704" spans="1:10" hidden="1" x14ac:dyDescent="0.25">
      <c r="A704" s="2">
        <v>46090</v>
      </c>
      <c r="B704" t="s">
        <v>58</v>
      </c>
      <c r="C704" t="s">
        <v>59</v>
      </c>
      <c r="D704" t="s">
        <v>60</v>
      </c>
      <c r="H704">
        <v>240000</v>
      </c>
      <c r="I704">
        <v>240000</v>
      </c>
      <c r="J704" t="s">
        <v>144</v>
      </c>
    </row>
    <row r="705" spans="1:10" hidden="1" x14ac:dyDescent="0.25">
      <c r="A705" s="2">
        <v>46098</v>
      </c>
      <c r="B705" t="s">
        <v>58</v>
      </c>
      <c r="C705" t="s">
        <v>59</v>
      </c>
      <c r="D705" t="s">
        <v>60</v>
      </c>
      <c r="H705">
        <v>240000</v>
      </c>
      <c r="I705">
        <v>240000</v>
      </c>
      <c r="J705" t="s">
        <v>144</v>
      </c>
    </row>
    <row r="706" spans="1:10" hidden="1" x14ac:dyDescent="0.25">
      <c r="A706" s="2">
        <v>46106</v>
      </c>
      <c r="B706" t="s">
        <v>58</v>
      </c>
      <c r="C706" t="s">
        <v>59</v>
      </c>
      <c r="D706" t="s">
        <v>60</v>
      </c>
      <c r="H706">
        <v>240000</v>
      </c>
      <c r="I706">
        <v>240000</v>
      </c>
      <c r="J706" t="s">
        <v>144</v>
      </c>
    </row>
    <row r="707" spans="1:10" hidden="1" x14ac:dyDescent="0.25">
      <c r="A707" s="2">
        <v>46133</v>
      </c>
      <c r="B707" t="s">
        <v>58</v>
      </c>
      <c r="C707" t="s">
        <v>59</v>
      </c>
      <c r="D707" t="s">
        <v>60</v>
      </c>
      <c r="H707">
        <v>240000</v>
      </c>
      <c r="I707">
        <v>240000</v>
      </c>
      <c r="J707" t="s">
        <v>144</v>
      </c>
    </row>
    <row r="708" spans="1:10" hidden="1" x14ac:dyDescent="0.25">
      <c r="A708" s="2">
        <v>46143</v>
      </c>
      <c r="B708" t="s">
        <v>58</v>
      </c>
      <c r="C708" t="s">
        <v>59</v>
      </c>
      <c r="D708" t="s">
        <v>60</v>
      </c>
      <c r="H708">
        <v>240000</v>
      </c>
      <c r="I708">
        <v>240000</v>
      </c>
      <c r="J708" t="s">
        <v>144</v>
      </c>
    </row>
    <row r="709" spans="1:10" hidden="1" x14ac:dyDescent="0.25">
      <c r="A709" s="2">
        <v>46164</v>
      </c>
      <c r="B709" t="s">
        <v>58</v>
      </c>
      <c r="C709" t="s">
        <v>59</v>
      </c>
      <c r="D709" t="s">
        <v>60</v>
      </c>
      <c r="H709">
        <v>240000</v>
      </c>
      <c r="I709">
        <v>240000</v>
      </c>
      <c r="J709" t="s">
        <v>144</v>
      </c>
    </row>
    <row r="710" spans="1:10" hidden="1" x14ac:dyDescent="0.25">
      <c r="A710" s="2">
        <v>46181</v>
      </c>
      <c r="B710" t="s">
        <v>58</v>
      </c>
      <c r="C710" t="s">
        <v>59</v>
      </c>
      <c r="D710" t="s">
        <v>60</v>
      </c>
      <c r="H710">
        <v>240000</v>
      </c>
      <c r="I710">
        <v>240000</v>
      </c>
      <c r="J710" t="s">
        <v>144</v>
      </c>
    </row>
    <row r="711" spans="1:10" hidden="1" x14ac:dyDescent="0.25">
      <c r="A711" s="2">
        <v>46195</v>
      </c>
      <c r="B711" t="s">
        <v>58</v>
      </c>
      <c r="C711" t="s">
        <v>59</v>
      </c>
      <c r="D711" t="s">
        <v>60</v>
      </c>
      <c r="H711">
        <v>240000</v>
      </c>
      <c r="I711">
        <v>240000</v>
      </c>
      <c r="J711" t="s">
        <v>144</v>
      </c>
    </row>
    <row r="712" spans="1:10" hidden="1" x14ac:dyDescent="0.25">
      <c r="A712" s="2">
        <v>46205</v>
      </c>
      <c r="B712" t="s">
        <v>58</v>
      </c>
      <c r="C712" t="s">
        <v>59</v>
      </c>
      <c r="D712" t="s">
        <v>60</v>
      </c>
      <c r="H712">
        <v>240000</v>
      </c>
      <c r="I712">
        <v>240000</v>
      </c>
      <c r="J712" t="s">
        <v>144</v>
      </c>
    </row>
    <row r="713" spans="1:10" hidden="1" x14ac:dyDescent="0.25">
      <c r="A713" s="2">
        <v>46223</v>
      </c>
      <c r="B713" t="s">
        <v>58</v>
      </c>
      <c r="C713" t="s">
        <v>59</v>
      </c>
      <c r="D713" t="s">
        <v>60</v>
      </c>
      <c r="H713">
        <v>240000</v>
      </c>
      <c r="I713">
        <v>240000</v>
      </c>
      <c r="J713" t="s">
        <v>144</v>
      </c>
    </row>
    <row r="714" spans="1:10" hidden="1" x14ac:dyDescent="0.25">
      <c r="A714" s="2">
        <v>45812</v>
      </c>
      <c r="B714" t="s">
        <v>62</v>
      </c>
      <c r="C714" t="s">
        <v>63</v>
      </c>
      <c r="D714" t="s">
        <v>64</v>
      </c>
      <c r="H714">
        <v>240000</v>
      </c>
      <c r="I714">
        <v>240000</v>
      </c>
      <c r="J714" t="s">
        <v>144</v>
      </c>
    </row>
    <row r="715" spans="1:10" hidden="1" x14ac:dyDescent="0.25">
      <c r="A715" s="2">
        <v>45819</v>
      </c>
      <c r="B715" t="s">
        <v>62</v>
      </c>
      <c r="C715" t="s">
        <v>63</v>
      </c>
      <c r="D715" t="s">
        <v>64</v>
      </c>
      <c r="H715">
        <v>240000</v>
      </c>
      <c r="I715">
        <v>240000</v>
      </c>
      <c r="J715" t="s">
        <v>144</v>
      </c>
    </row>
    <row r="716" spans="1:10" hidden="1" x14ac:dyDescent="0.25">
      <c r="A716" s="2">
        <v>45826</v>
      </c>
      <c r="B716" t="s">
        <v>62</v>
      </c>
      <c r="C716" t="s">
        <v>63</v>
      </c>
      <c r="D716" t="s">
        <v>64</v>
      </c>
      <c r="H716">
        <v>240000</v>
      </c>
      <c r="I716">
        <v>240000</v>
      </c>
      <c r="J716" t="s">
        <v>144</v>
      </c>
    </row>
    <row r="717" spans="1:10" hidden="1" x14ac:dyDescent="0.25">
      <c r="A717" s="2">
        <v>45833</v>
      </c>
      <c r="B717" t="s">
        <v>62</v>
      </c>
      <c r="C717" t="s">
        <v>63</v>
      </c>
      <c r="D717" t="s">
        <v>64</v>
      </c>
      <c r="H717">
        <v>240000</v>
      </c>
      <c r="I717">
        <v>240000</v>
      </c>
      <c r="J717" t="s">
        <v>144</v>
      </c>
    </row>
    <row r="718" spans="1:10" hidden="1" x14ac:dyDescent="0.25">
      <c r="A718" s="2">
        <v>45840</v>
      </c>
      <c r="B718" t="s">
        <v>62</v>
      </c>
      <c r="C718" t="s">
        <v>63</v>
      </c>
      <c r="D718" t="s">
        <v>64</v>
      </c>
      <c r="H718">
        <v>240000</v>
      </c>
      <c r="I718">
        <v>240000</v>
      </c>
      <c r="J718" t="s">
        <v>144</v>
      </c>
    </row>
    <row r="719" spans="1:10" hidden="1" x14ac:dyDescent="0.25">
      <c r="A719" s="2">
        <v>45847</v>
      </c>
      <c r="B719" t="s">
        <v>62</v>
      </c>
      <c r="C719" t="s">
        <v>63</v>
      </c>
      <c r="D719" t="s">
        <v>64</v>
      </c>
      <c r="H719">
        <v>240000</v>
      </c>
      <c r="I719">
        <v>240000</v>
      </c>
      <c r="J719" t="s">
        <v>144</v>
      </c>
    </row>
    <row r="720" spans="1:10" hidden="1" x14ac:dyDescent="0.25">
      <c r="A720" s="2">
        <v>45854</v>
      </c>
      <c r="B720" t="s">
        <v>62</v>
      </c>
      <c r="C720" t="s">
        <v>63</v>
      </c>
      <c r="D720" t="s">
        <v>64</v>
      </c>
      <c r="H720">
        <v>240000</v>
      </c>
      <c r="I720">
        <v>240000</v>
      </c>
      <c r="J720" t="s">
        <v>144</v>
      </c>
    </row>
    <row r="721" spans="1:10" hidden="1" x14ac:dyDescent="0.25">
      <c r="A721" s="2">
        <v>45861</v>
      </c>
      <c r="B721" t="s">
        <v>62</v>
      </c>
      <c r="C721" t="s">
        <v>63</v>
      </c>
      <c r="D721" t="s">
        <v>64</v>
      </c>
      <c r="H721">
        <v>240000</v>
      </c>
      <c r="I721">
        <v>240000</v>
      </c>
      <c r="J721" t="s">
        <v>144</v>
      </c>
    </row>
    <row r="722" spans="1:10" hidden="1" x14ac:dyDescent="0.25">
      <c r="A722" s="2">
        <v>45868</v>
      </c>
      <c r="B722" t="s">
        <v>62</v>
      </c>
      <c r="C722" t="s">
        <v>63</v>
      </c>
      <c r="D722" t="s">
        <v>64</v>
      </c>
      <c r="H722">
        <v>240000</v>
      </c>
      <c r="I722">
        <v>240000</v>
      </c>
      <c r="J722" t="s">
        <v>144</v>
      </c>
    </row>
    <row r="723" spans="1:10" hidden="1" x14ac:dyDescent="0.25">
      <c r="A723" s="2">
        <v>45875</v>
      </c>
      <c r="B723" t="s">
        <v>62</v>
      </c>
      <c r="C723" t="s">
        <v>63</v>
      </c>
      <c r="D723" t="s">
        <v>64</v>
      </c>
      <c r="H723">
        <v>240000</v>
      </c>
      <c r="I723">
        <v>240000</v>
      </c>
      <c r="J723" t="s">
        <v>144</v>
      </c>
    </row>
    <row r="724" spans="1:10" hidden="1" x14ac:dyDescent="0.25">
      <c r="A724" s="2">
        <v>45882</v>
      </c>
      <c r="B724" t="s">
        <v>62</v>
      </c>
      <c r="C724" t="s">
        <v>63</v>
      </c>
      <c r="D724" t="s">
        <v>64</v>
      </c>
      <c r="H724">
        <v>240000</v>
      </c>
      <c r="I724">
        <v>240000</v>
      </c>
      <c r="J724" t="s">
        <v>144</v>
      </c>
    </row>
    <row r="725" spans="1:10" hidden="1" x14ac:dyDescent="0.25">
      <c r="A725" s="2">
        <v>45889</v>
      </c>
      <c r="B725" t="s">
        <v>62</v>
      </c>
      <c r="C725" t="s">
        <v>63</v>
      </c>
      <c r="D725" t="s">
        <v>64</v>
      </c>
      <c r="H725">
        <v>240000</v>
      </c>
      <c r="I725">
        <v>240000</v>
      </c>
      <c r="J725" t="s">
        <v>144</v>
      </c>
    </row>
    <row r="726" spans="1:10" hidden="1" x14ac:dyDescent="0.25">
      <c r="A726" s="2">
        <v>45896</v>
      </c>
      <c r="B726" t="s">
        <v>62</v>
      </c>
      <c r="C726" t="s">
        <v>63</v>
      </c>
      <c r="D726" t="s">
        <v>64</v>
      </c>
      <c r="H726">
        <v>240000</v>
      </c>
      <c r="I726">
        <v>240000</v>
      </c>
      <c r="J726" t="s">
        <v>144</v>
      </c>
    </row>
    <row r="727" spans="1:10" hidden="1" x14ac:dyDescent="0.25">
      <c r="A727" s="2">
        <v>45903</v>
      </c>
      <c r="B727" t="s">
        <v>62</v>
      </c>
      <c r="C727" t="s">
        <v>63</v>
      </c>
      <c r="D727" t="s">
        <v>64</v>
      </c>
      <c r="H727">
        <v>240000</v>
      </c>
      <c r="I727">
        <v>240000</v>
      </c>
      <c r="J727" t="s">
        <v>144</v>
      </c>
    </row>
    <row r="728" spans="1:10" hidden="1" x14ac:dyDescent="0.25">
      <c r="A728" s="2">
        <v>45910</v>
      </c>
      <c r="B728" t="s">
        <v>62</v>
      </c>
      <c r="C728" t="s">
        <v>63</v>
      </c>
      <c r="D728" t="s">
        <v>64</v>
      </c>
      <c r="H728">
        <v>240000</v>
      </c>
      <c r="I728">
        <v>240000</v>
      </c>
      <c r="J728" t="s">
        <v>144</v>
      </c>
    </row>
    <row r="729" spans="1:10" hidden="1" x14ac:dyDescent="0.25">
      <c r="A729" s="2">
        <v>45931</v>
      </c>
      <c r="B729" t="s">
        <v>62</v>
      </c>
      <c r="C729" t="s">
        <v>63</v>
      </c>
      <c r="D729" t="s">
        <v>64</v>
      </c>
      <c r="H729">
        <v>240000</v>
      </c>
      <c r="I729">
        <v>240000</v>
      </c>
      <c r="J729" t="s">
        <v>144</v>
      </c>
    </row>
    <row r="730" spans="1:10" hidden="1" x14ac:dyDescent="0.25">
      <c r="A730" s="2">
        <v>45947</v>
      </c>
      <c r="B730" t="s">
        <v>62</v>
      </c>
      <c r="C730" t="s">
        <v>63</v>
      </c>
      <c r="D730" t="s">
        <v>64</v>
      </c>
      <c r="H730">
        <v>240000</v>
      </c>
      <c r="I730">
        <v>240000</v>
      </c>
      <c r="J730" t="s">
        <v>144</v>
      </c>
    </row>
    <row r="731" spans="1:10" hidden="1" x14ac:dyDescent="0.25">
      <c r="A731" s="2">
        <v>45950</v>
      </c>
      <c r="B731" t="s">
        <v>62</v>
      </c>
      <c r="C731" t="s">
        <v>63</v>
      </c>
      <c r="D731" t="s">
        <v>64</v>
      </c>
      <c r="H731">
        <v>240000</v>
      </c>
      <c r="I731">
        <v>240000</v>
      </c>
      <c r="J731" t="s">
        <v>144</v>
      </c>
    </row>
    <row r="732" spans="1:10" hidden="1" x14ac:dyDescent="0.25">
      <c r="A732" s="2">
        <v>45954</v>
      </c>
      <c r="B732" t="s">
        <v>62</v>
      </c>
      <c r="C732" t="s">
        <v>63</v>
      </c>
      <c r="D732" t="s">
        <v>64</v>
      </c>
      <c r="H732">
        <v>240000</v>
      </c>
      <c r="I732">
        <v>240000</v>
      </c>
      <c r="J732" t="s">
        <v>144</v>
      </c>
    </row>
    <row r="733" spans="1:10" hidden="1" x14ac:dyDescent="0.25">
      <c r="A733" s="2">
        <v>45955</v>
      </c>
      <c r="B733" t="s">
        <v>62</v>
      </c>
      <c r="C733" t="s">
        <v>63</v>
      </c>
      <c r="D733" t="s">
        <v>64</v>
      </c>
      <c r="H733">
        <v>240000</v>
      </c>
      <c r="I733">
        <v>240000</v>
      </c>
      <c r="J733" t="s">
        <v>144</v>
      </c>
    </row>
    <row r="734" spans="1:10" hidden="1" x14ac:dyDescent="0.25">
      <c r="A734" s="2">
        <v>45959</v>
      </c>
      <c r="B734" t="s">
        <v>62</v>
      </c>
      <c r="C734" t="s">
        <v>63</v>
      </c>
      <c r="D734" t="s">
        <v>64</v>
      </c>
      <c r="H734">
        <v>240000</v>
      </c>
      <c r="I734">
        <v>240000</v>
      </c>
      <c r="J734" t="s">
        <v>144</v>
      </c>
    </row>
    <row r="735" spans="1:10" hidden="1" x14ac:dyDescent="0.25">
      <c r="A735" s="2">
        <v>45968</v>
      </c>
      <c r="B735" t="s">
        <v>62</v>
      </c>
      <c r="C735" t="s">
        <v>63</v>
      </c>
      <c r="D735" t="s">
        <v>64</v>
      </c>
      <c r="H735">
        <v>240000</v>
      </c>
      <c r="I735">
        <v>240000</v>
      </c>
      <c r="J735" t="s">
        <v>144</v>
      </c>
    </row>
    <row r="736" spans="1:10" hidden="1" x14ac:dyDescent="0.25">
      <c r="A736" s="2">
        <v>45978</v>
      </c>
      <c r="B736" t="s">
        <v>62</v>
      </c>
      <c r="C736" t="s">
        <v>63</v>
      </c>
      <c r="D736" t="s">
        <v>64</v>
      </c>
      <c r="H736">
        <v>240000</v>
      </c>
      <c r="I736">
        <v>240000</v>
      </c>
      <c r="J736" t="s">
        <v>144</v>
      </c>
    </row>
    <row r="737" spans="1:10" hidden="1" x14ac:dyDescent="0.25">
      <c r="A737" s="2">
        <v>45978</v>
      </c>
      <c r="B737" t="s">
        <v>62</v>
      </c>
      <c r="C737" t="s">
        <v>63</v>
      </c>
      <c r="D737" t="s">
        <v>64</v>
      </c>
      <c r="H737">
        <v>240000</v>
      </c>
      <c r="I737">
        <v>240000</v>
      </c>
      <c r="J737" t="s">
        <v>144</v>
      </c>
    </row>
    <row r="738" spans="1:10" hidden="1" x14ac:dyDescent="0.25">
      <c r="A738" s="2">
        <v>45987</v>
      </c>
      <c r="B738" t="s">
        <v>62</v>
      </c>
      <c r="C738" t="s">
        <v>63</v>
      </c>
      <c r="D738" t="s">
        <v>64</v>
      </c>
      <c r="H738">
        <v>240000</v>
      </c>
      <c r="I738">
        <v>240000</v>
      </c>
      <c r="J738" t="s">
        <v>144</v>
      </c>
    </row>
    <row r="739" spans="1:10" hidden="1" x14ac:dyDescent="0.25">
      <c r="A739" s="2">
        <v>45987</v>
      </c>
      <c r="B739" t="s">
        <v>62</v>
      </c>
      <c r="C739" t="s">
        <v>63</v>
      </c>
      <c r="D739" t="s">
        <v>64</v>
      </c>
      <c r="H739">
        <v>240000</v>
      </c>
      <c r="I739">
        <v>240000</v>
      </c>
      <c r="J739" t="s">
        <v>144</v>
      </c>
    </row>
    <row r="740" spans="1:10" hidden="1" x14ac:dyDescent="0.25">
      <c r="A740" s="2">
        <v>45987</v>
      </c>
      <c r="B740" t="s">
        <v>62</v>
      </c>
      <c r="C740" t="s">
        <v>63</v>
      </c>
      <c r="D740" t="s">
        <v>64</v>
      </c>
      <c r="H740">
        <v>240000</v>
      </c>
      <c r="I740">
        <v>240000</v>
      </c>
      <c r="J740" t="s">
        <v>144</v>
      </c>
    </row>
    <row r="741" spans="1:10" hidden="1" x14ac:dyDescent="0.25">
      <c r="A741" s="2">
        <v>45987</v>
      </c>
      <c r="B741" t="s">
        <v>62</v>
      </c>
      <c r="C741" t="s">
        <v>63</v>
      </c>
      <c r="D741" t="s">
        <v>64</v>
      </c>
      <c r="H741">
        <v>240000</v>
      </c>
      <c r="I741">
        <v>240000</v>
      </c>
      <c r="J741" t="s">
        <v>144</v>
      </c>
    </row>
    <row r="742" spans="1:10" hidden="1" x14ac:dyDescent="0.25">
      <c r="A742" s="2">
        <v>46015</v>
      </c>
      <c r="B742" t="s">
        <v>62</v>
      </c>
      <c r="C742" t="s">
        <v>63</v>
      </c>
      <c r="D742" t="s">
        <v>64</v>
      </c>
      <c r="H742">
        <v>240000</v>
      </c>
      <c r="I742">
        <v>240000</v>
      </c>
      <c r="J742" t="s">
        <v>144</v>
      </c>
    </row>
    <row r="743" spans="1:10" hidden="1" x14ac:dyDescent="0.25">
      <c r="A743" s="2">
        <v>46036</v>
      </c>
      <c r="B743" t="s">
        <v>62</v>
      </c>
      <c r="C743" t="s">
        <v>63</v>
      </c>
      <c r="D743" t="s">
        <v>64</v>
      </c>
      <c r="H743">
        <v>240000</v>
      </c>
      <c r="I743">
        <v>240000</v>
      </c>
      <c r="J743" t="s">
        <v>144</v>
      </c>
    </row>
    <row r="744" spans="1:10" hidden="1" x14ac:dyDescent="0.25">
      <c r="A744" s="2">
        <v>46051</v>
      </c>
      <c r="B744" t="s">
        <v>62</v>
      </c>
      <c r="C744" t="s">
        <v>63</v>
      </c>
      <c r="D744" t="s">
        <v>64</v>
      </c>
      <c r="H744">
        <v>240000</v>
      </c>
      <c r="I744">
        <v>240000</v>
      </c>
      <c r="J744" t="s">
        <v>144</v>
      </c>
    </row>
    <row r="745" spans="1:10" hidden="1" x14ac:dyDescent="0.25">
      <c r="A745" s="2">
        <v>46061</v>
      </c>
      <c r="B745" t="s">
        <v>62</v>
      </c>
      <c r="C745" t="s">
        <v>63</v>
      </c>
      <c r="D745" t="s">
        <v>64</v>
      </c>
      <c r="H745">
        <v>240000</v>
      </c>
      <c r="I745">
        <v>240000</v>
      </c>
      <c r="J745" t="s">
        <v>144</v>
      </c>
    </row>
    <row r="746" spans="1:10" hidden="1" x14ac:dyDescent="0.25">
      <c r="A746" s="2">
        <v>46069</v>
      </c>
      <c r="B746" t="s">
        <v>62</v>
      </c>
      <c r="C746" t="s">
        <v>63</v>
      </c>
      <c r="D746" t="s">
        <v>64</v>
      </c>
      <c r="H746">
        <v>240000</v>
      </c>
      <c r="I746">
        <v>240000</v>
      </c>
      <c r="J746" t="s">
        <v>144</v>
      </c>
    </row>
    <row r="747" spans="1:10" hidden="1" x14ac:dyDescent="0.25">
      <c r="A747" s="2">
        <v>46096</v>
      </c>
      <c r="B747" t="s">
        <v>62</v>
      </c>
      <c r="C747" t="s">
        <v>63</v>
      </c>
      <c r="D747" t="s">
        <v>64</v>
      </c>
      <c r="H747">
        <v>240000</v>
      </c>
      <c r="I747">
        <v>240000</v>
      </c>
      <c r="J747" t="s">
        <v>144</v>
      </c>
    </row>
    <row r="748" spans="1:10" hidden="1" x14ac:dyDescent="0.25">
      <c r="A748" s="2">
        <v>46096</v>
      </c>
      <c r="B748" t="s">
        <v>62</v>
      </c>
      <c r="C748" t="s">
        <v>63</v>
      </c>
      <c r="D748" t="s">
        <v>64</v>
      </c>
      <c r="H748">
        <v>240000</v>
      </c>
      <c r="I748">
        <v>240000</v>
      </c>
      <c r="J748" t="s">
        <v>144</v>
      </c>
    </row>
    <row r="749" spans="1:10" hidden="1" x14ac:dyDescent="0.25">
      <c r="A749" s="2">
        <v>46100</v>
      </c>
      <c r="B749" t="s">
        <v>62</v>
      </c>
      <c r="C749" t="s">
        <v>63</v>
      </c>
      <c r="D749" t="s">
        <v>64</v>
      </c>
      <c r="H749">
        <v>240000</v>
      </c>
      <c r="I749">
        <v>240000</v>
      </c>
      <c r="J749" t="s">
        <v>144</v>
      </c>
    </row>
    <row r="750" spans="1:10" hidden="1" x14ac:dyDescent="0.25">
      <c r="A750" s="2">
        <v>46104</v>
      </c>
      <c r="B750" t="s">
        <v>62</v>
      </c>
      <c r="C750" t="s">
        <v>63</v>
      </c>
      <c r="D750" t="s">
        <v>64</v>
      </c>
      <c r="H750">
        <v>240000</v>
      </c>
      <c r="I750">
        <v>240000</v>
      </c>
      <c r="J750" t="s">
        <v>144</v>
      </c>
    </row>
    <row r="751" spans="1:10" hidden="1" x14ac:dyDescent="0.25">
      <c r="A751" s="2">
        <v>46113</v>
      </c>
      <c r="B751" t="s">
        <v>62</v>
      </c>
      <c r="C751" t="s">
        <v>63</v>
      </c>
      <c r="D751" t="s">
        <v>64</v>
      </c>
      <c r="H751">
        <v>240000</v>
      </c>
      <c r="I751">
        <v>240000</v>
      </c>
      <c r="J751" t="s">
        <v>144</v>
      </c>
    </row>
    <row r="752" spans="1:10" hidden="1" x14ac:dyDescent="0.25">
      <c r="A752" s="2">
        <v>46113</v>
      </c>
      <c r="B752" t="s">
        <v>62</v>
      </c>
      <c r="C752" t="s">
        <v>63</v>
      </c>
      <c r="D752" t="s">
        <v>64</v>
      </c>
      <c r="H752">
        <v>240000</v>
      </c>
      <c r="I752">
        <v>240000</v>
      </c>
      <c r="J752" t="s">
        <v>144</v>
      </c>
    </row>
    <row r="753" spans="1:10" hidden="1" x14ac:dyDescent="0.25">
      <c r="A753" s="2">
        <v>46121</v>
      </c>
      <c r="B753" t="s">
        <v>62</v>
      </c>
      <c r="C753" t="s">
        <v>63</v>
      </c>
      <c r="D753" t="s">
        <v>64</v>
      </c>
      <c r="H753">
        <v>240000</v>
      </c>
      <c r="I753">
        <v>240000</v>
      </c>
      <c r="J753" t="s">
        <v>144</v>
      </c>
    </row>
    <row r="754" spans="1:10" hidden="1" x14ac:dyDescent="0.25">
      <c r="A754" s="2">
        <v>46128</v>
      </c>
      <c r="B754" t="s">
        <v>62</v>
      </c>
      <c r="C754" t="s">
        <v>63</v>
      </c>
      <c r="D754" t="s">
        <v>64</v>
      </c>
      <c r="H754">
        <v>240000</v>
      </c>
      <c r="I754">
        <v>240000</v>
      </c>
      <c r="J754" t="s">
        <v>144</v>
      </c>
    </row>
    <row r="755" spans="1:10" hidden="1" x14ac:dyDescent="0.25">
      <c r="A755" s="2">
        <v>46134</v>
      </c>
      <c r="B755" t="s">
        <v>62</v>
      </c>
      <c r="C755" t="s">
        <v>63</v>
      </c>
      <c r="D755" t="s">
        <v>64</v>
      </c>
      <c r="H755">
        <v>240000</v>
      </c>
      <c r="I755">
        <v>240000</v>
      </c>
      <c r="J755" t="s">
        <v>144</v>
      </c>
    </row>
    <row r="756" spans="1:10" hidden="1" x14ac:dyDescent="0.25">
      <c r="A756" s="2">
        <v>46142</v>
      </c>
      <c r="B756" t="s">
        <v>62</v>
      </c>
      <c r="C756" t="s">
        <v>63</v>
      </c>
      <c r="D756" t="s">
        <v>64</v>
      </c>
      <c r="H756">
        <v>240000</v>
      </c>
      <c r="I756">
        <v>240000</v>
      </c>
      <c r="J756" t="s">
        <v>144</v>
      </c>
    </row>
    <row r="757" spans="1:10" hidden="1" x14ac:dyDescent="0.25">
      <c r="A757" s="2">
        <v>46155</v>
      </c>
      <c r="B757" t="s">
        <v>62</v>
      </c>
      <c r="C757" t="s">
        <v>63</v>
      </c>
      <c r="D757" t="s">
        <v>64</v>
      </c>
      <c r="H757">
        <v>240000</v>
      </c>
      <c r="I757">
        <v>240000</v>
      </c>
      <c r="J757" t="s">
        <v>144</v>
      </c>
    </row>
    <row r="758" spans="1:10" hidden="1" x14ac:dyDescent="0.25">
      <c r="A758" s="2">
        <v>46163</v>
      </c>
      <c r="B758" t="s">
        <v>62</v>
      </c>
      <c r="C758" t="s">
        <v>63</v>
      </c>
      <c r="D758" t="s">
        <v>64</v>
      </c>
      <c r="H758">
        <v>240000</v>
      </c>
      <c r="I758">
        <v>240000</v>
      </c>
      <c r="J758" t="s">
        <v>144</v>
      </c>
    </row>
    <row r="759" spans="1:10" hidden="1" x14ac:dyDescent="0.25">
      <c r="A759" s="2">
        <v>46170</v>
      </c>
      <c r="B759" t="s">
        <v>62</v>
      </c>
      <c r="C759" t="s">
        <v>63</v>
      </c>
      <c r="D759" t="s">
        <v>64</v>
      </c>
      <c r="H759">
        <v>240000</v>
      </c>
      <c r="I759">
        <v>240000</v>
      </c>
      <c r="J759" t="s">
        <v>144</v>
      </c>
    </row>
    <row r="760" spans="1:10" hidden="1" x14ac:dyDescent="0.25">
      <c r="A760" s="2">
        <v>46182</v>
      </c>
      <c r="B760" t="s">
        <v>62</v>
      </c>
      <c r="C760" t="s">
        <v>63</v>
      </c>
      <c r="D760" t="s">
        <v>64</v>
      </c>
      <c r="H760">
        <v>240000</v>
      </c>
      <c r="I760">
        <v>240000</v>
      </c>
      <c r="J760" t="s">
        <v>144</v>
      </c>
    </row>
    <row r="761" spans="1:10" hidden="1" x14ac:dyDescent="0.25">
      <c r="A761" s="2">
        <v>46184</v>
      </c>
      <c r="B761" t="s">
        <v>62</v>
      </c>
      <c r="C761" t="s">
        <v>63</v>
      </c>
      <c r="D761" t="s">
        <v>64</v>
      </c>
      <c r="H761">
        <v>240000</v>
      </c>
      <c r="I761">
        <v>240000</v>
      </c>
      <c r="J761" t="s">
        <v>144</v>
      </c>
    </row>
    <row r="762" spans="1:10" hidden="1" x14ac:dyDescent="0.25">
      <c r="A762" s="2">
        <v>46191</v>
      </c>
      <c r="B762" t="s">
        <v>62</v>
      </c>
      <c r="C762" t="s">
        <v>63</v>
      </c>
      <c r="D762" t="s">
        <v>64</v>
      </c>
      <c r="H762">
        <v>240000</v>
      </c>
      <c r="I762">
        <v>240000</v>
      </c>
      <c r="J762" t="s">
        <v>144</v>
      </c>
    </row>
    <row r="763" spans="1:10" hidden="1" x14ac:dyDescent="0.25">
      <c r="A763" s="2">
        <v>46198</v>
      </c>
      <c r="B763" t="s">
        <v>62</v>
      </c>
      <c r="C763" t="s">
        <v>63</v>
      </c>
      <c r="D763" t="s">
        <v>64</v>
      </c>
      <c r="H763">
        <v>240000</v>
      </c>
      <c r="I763">
        <v>240000</v>
      </c>
      <c r="J763" t="s">
        <v>144</v>
      </c>
    </row>
    <row r="764" spans="1:10" hidden="1" x14ac:dyDescent="0.25">
      <c r="A764" s="2">
        <v>46206</v>
      </c>
      <c r="B764" t="s">
        <v>62</v>
      </c>
      <c r="C764" t="s">
        <v>63</v>
      </c>
      <c r="D764" t="s">
        <v>64</v>
      </c>
      <c r="H764">
        <v>240000</v>
      </c>
      <c r="I764">
        <v>240000</v>
      </c>
      <c r="J764" t="s">
        <v>144</v>
      </c>
    </row>
    <row r="765" spans="1:10" hidden="1" x14ac:dyDescent="0.25">
      <c r="A765" s="2">
        <v>46213</v>
      </c>
      <c r="B765" t="s">
        <v>62</v>
      </c>
      <c r="C765" t="s">
        <v>63</v>
      </c>
      <c r="D765" t="s">
        <v>64</v>
      </c>
      <c r="H765">
        <v>240000</v>
      </c>
      <c r="I765">
        <v>240000</v>
      </c>
      <c r="J765" t="s">
        <v>144</v>
      </c>
    </row>
    <row r="766" spans="1:10" hidden="1" x14ac:dyDescent="0.25">
      <c r="A766" s="2">
        <v>46219</v>
      </c>
      <c r="B766" t="s">
        <v>62</v>
      </c>
      <c r="C766" t="s">
        <v>63</v>
      </c>
      <c r="D766" t="s">
        <v>64</v>
      </c>
      <c r="H766">
        <v>240000</v>
      </c>
      <c r="I766">
        <v>240000</v>
      </c>
      <c r="J766" t="s">
        <v>144</v>
      </c>
    </row>
    <row r="767" spans="1:10" hidden="1" x14ac:dyDescent="0.25">
      <c r="A767" s="2">
        <v>46226</v>
      </c>
      <c r="B767" t="s">
        <v>62</v>
      </c>
      <c r="C767" t="s">
        <v>63</v>
      </c>
      <c r="D767" t="s">
        <v>64</v>
      </c>
      <c r="H767">
        <v>240000</v>
      </c>
      <c r="I767">
        <v>240000</v>
      </c>
      <c r="J767" t="s">
        <v>144</v>
      </c>
    </row>
    <row r="768" spans="1:10" hidden="1" x14ac:dyDescent="0.25">
      <c r="A768" s="2">
        <v>45808</v>
      </c>
      <c r="B768" t="s">
        <v>66</v>
      </c>
      <c r="C768" t="s">
        <v>67</v>
      </c>
      <c r="D768" t="s">
        <v>68</v>
      </c>
      <c r="H768">
        <v>240000</v>
      </c>
      <c r="I768">
        <v>240000</v>
      </c>
      <c r="J768" t="s">
        <v>144</v>
      </c>
    </row>
    <row r="769" spans="1:10" hidden="1" x14ac:dyDescent="0.25">
      <c r="A769" s="2">
        <v>45816</v>
      </c>
      <c r="B769" t="s">
        <v>66</v>
      </c>
      <c r="C769" t="s">
        <v>67</v>
      </c>
      <c r="D769" t="s">
        <v>68</v>
      </c>
      <c r="H769">
        <v>240000</v>
      </c>
      <c r="I769">
        <v>240000</v>
      </c>
      <c r="J769" t="s">
        <v>144</v>
      </c>
    </row>
    <row r="770" spans="1:10" hidden="1" x14ac:dyDescent="0.25">
      <c r="A770" s="2">
        <v>45824</v>
      </c>
      <c r="B770" t="s">
        <v>66</v>
      </c>
      <c r="C770" t="s">
        <v>67</v>
      </c>
      <c r="D770" t="s">
        <v>68</v>
      </c>
      <c r="H770">
        <v>240000</v>
      </c>
      <c r="I770">
        <v>240000</v>
      </c>
      <c r="J770" t="s">
        <v>144</v>
      </c>
    </row>
    <row r="771" spans="1:10" hidden="1" x14ac:dyDescent="0.25">
      <c r="A771" s="2">
        <v>45832</v>
      </c>
      <c r="B771" t="s">
        <v>66</v>
      </c>
      <c r="C771" t="s">
        <v>67</v>
      </c>
      <c r="D771" t="s">
        <v>68</v>
      </c>
      <c r="H771">
        <v>240000</v>
      </c>
      <c r="I771">
        <v>240000</v>
      </c>
      <c r="J771" t="s">
        <v>144</v>
      </c>
    </row>
    <row r="772" spans="1:10" hidden="1" x14ac:dyDescent="0.25">
      <c r="A772" s="2">
        <v>45840</v>
      </c>
      <c r="B772" t="s">
        <v>66</v>
      </c>
      <c r="C772" t="s">
        <v>67</v>
      </c>
      <c r="D772" t="s">
        <v>68</v>
      </c>
      <c r="H772">
        <v>240000</v>
      </c>
      <c r="I772">
        <v>240000</v>
      </c>
      <c r="J772" t="s">
        <v>144</v>
      </c>
    </row>
    <row r="773" spans="1:10" hidden="1" x14ac:dyDescent="0.25">
      <c r="A773" s="2">
        <v>45848</v>
      </c>
      <c r="B773" t="s">
        <v>66</v>
      </c>
      <c r="C773" t="s">
        <v>67</v>
      </c>
      <c r="D773" t="s">
        <v>68</v>
      </c>
      <c r="H773">
        <v>240000</v>
      </c>
      <c r="I773">
        <v>240000</v>
      </c>
      <c r="J773" t="s">
        <v>144</v>
      </c>
    </row>
    <row r="774" spans="1:10" hidden="1" x14ac:dyDescent="0.25">
      <c r="A774" s="2">
        <v>45850</v>
      </c>
      <c r="B774" t="s">
        <v>66</v>
      </c>
      <c r="C774" t="s">
        <v>67</v>
      </c>
      <c r="D774" t="s">
        <v>68</v>
      </c>
      <c r="H774">
        <v>240000</v>
      </c>
      <c r="I774">
        <v>240000</v>
      </c>
      <c r="J774" t="s">
        <v>144</v>
      </c>
    </row>
    <row r="775" spans="1:10" hidden="1" x14ac:dyDescent="0.25">
      <c r="A775" s="2">
        <v>45864</v>
      </c>
      <c r="B775" t="s">
        <v>66</v>
      </c>
      <c r="C775" t="s">
        <v>67</v>
      </c>
      <c r="D775" t="s">
        <v>68</v>
      </c>
      <c r="H775">
        <v>240000</v>
      </c>
      <c r="I775">
        <v>240000</v>
      </c>
      <c r="J775" t="s">
        <v>144</v>
      </c>
    </row>
    <row r="776" spans="1:10" hidden="1" x14ac:dyDescent="0.25">
      <c r="A776" s="2">
        <v>45871</v>
      </c>
      <c r="B776" t="s">
        <v>66</v>
      </c>
      <c r="C776" t="s">
        <v>67</v>
      </c>
      <c r="D776" t="s">
        <v>68</v>
      </c>
      <c r="H776">
        <v>240000</v>
      </c>
      <c r="I776">
        <v>240000</v>
      </c>
      <c r="J776" t="s">
        <v>144</v>
      </c>
    </row>
    <row r="777" spans="1:10" hidden="1" x14ac:dyDescent="0.25">
      <c r="A777" s="2">
        <v>45879</v>
      </c>
      <c r="B777" t="s">
        <v>66</v>
      </c>
      <c r="C777" t="s">
        <v>67</v>
      </c>
      <c r="D777" t="s">
        <v>68</v>
      </c>
      <c r="H777">
        <v>240000</v>
      </c>
      <c r="I777">
        <v>240000</v>
      </c>
      <c r="J777" t="s">
        <v>144</v>
      </c>
    </row>
    <row r="778" spans="1:10" hidden="1" x14ac:dyDescent="0.25">
      <c r="A778" s="2">
        <v>45887</v>
      </c>
      <c r="B778" t="s">
        <v>66</v>
      </c>
      <c r="C778" t="s">
        <v>67</v>
      </c>
      <c r="D778" t="s">
        <v>68</v>
      </c>
      <c r="H778">
        <v>240000</v>
      </c>
      <c r="I778">
        <v>240000</v>
      </c>
      <c r="J778" t="s">
        <v>144</v>
      </c>
    </row>
    <row r="779" spans="1:10" hidden="1" x14ac:dyDescent="0.25">
      <c r="A779" s="2">
        <v>45895</v>
      </c>
      <c r="B779" t="s">
        <v>66</v>
      </c>
      <c r="C779" t="s">
        <v>67</v>
      </c>
      <c r="D779" t="s">
        <v>68</v>
      </c>
      <c r="H779">
        <v>240000</v>
      </c>
      <c r="I779">
        <v>240000</v>
      </c>
      <c r="J779" t="s">
        <v>144</v>
      </c>
    </row>
    <row r="780" spans="1:10" hidden="1" x14ac:dyDescent="0.25">
      <c r="A780" s="2">
        <v>45903</v>
      </c>
      <c r="B780" t="s">
        <v>66</v>
      </c>
      <c r="C780" t="s">
        <v>67</v>
      </c>
      <c r="D780" t="s">
        <v>68</v>
      </c>
      <c r="H780">
        <v>240000</v>
      </c>
      <c r="I780">
        <v>240000</v>
      </c>
      <c r="J780" t="s">
        <v>144</v>
      </c>
    </row>
    <row r="781" spans="1:10" hidden="1" x14ac:dyDescent="0.25">
      <c r="A781" s="2">
        <v>45911</v>
      </c>
      <c r="B781" t="s">
        <v>66</v>
      </c>
      <c r="C781" t="s">
        <v>67</v>
      </c>
      <c r="D781" t="s">
        <v>68</v>
      </c>
      <c r="H781">
        <v>240000</v>
      </c>
      <c r="I781">
        <v>240000</v>
      </c>
      <c r="J781" t="s">
        <v>144</v>
      </c>
    </row>
    <row r="782" spans="1:10" hidden="1" x14ac:dyDescent="0.25">
      <c r="A782" s="2">
        <v>45919</v>
      </c>
      <c r="B782" t="s">
        <v>66</v>
      </c>
      <c r="C782" t="s">
        <v>67</v>
      </c>
      <c r="D782" t="s">
        <v>68</v>
      </c>
      <c r="H782">
        <v>240000</v>
      </c>
      <c r="I782">
        <v>240000</v>
      </c>
      <c r="J782" t="s">
        <v>144</v>
      </c>
    </row>
    <row r="783" spans="1:10" hidden="1" x14ac:dyDescent="0.25">
      <c r="A783" s="2">
        <v>45927</v>
      </c>
      <c r="B783" t="s">
        <v>66</v>
      </c>
      <c r="C783" t="s">
        <v>67</v>
      </c>
      <c r="D783" t="s">
        <v>68</v>
      </c>
      <c r="H783">
        <v>240000</v>
      </c>
      <c r="I783">
        <v>240000</v>
      </c>
      <c r="J783" t="s">
        <v>144</v>
      </c>
    </row>
    <row r="784" spans="1:10" hidden="1" x14ac:dyDescent="0.25">
      <c r="A784" s="2">
        <v>45935</v>
      </c>
      <c r="B784" t="s">
        <v>66</v>
      </c>
      <c r="C784" t="s">
        <v>67</v>
      </c>
      <c r="D784" t="s">
        <v>68</v>
      </c>
      <c r="H784">
        <v>240000</v>
      </c>
      <c r="I784">
        <v>240000</v>
      </c>
      <c r="J784" t="s">
        <v>144</v>
      </c>
    </row>
    <row r="785" spans="1:10" hidden="1" x14ac:dyDescent="0.25">
      <c r="A785" s="2">
        <v>45944</v>
      </c>
      <c r="B785" t="s">
        <v>66</v>
      </c>
      <c r="C785" t="s">
        <v>67</v>
      </c>
      <c r="D785" t="s">
        <v>68</v>
      </c>
      <c r="H785">
        <v>240000</v>
      </c>
      <c r="I785">
        <v>240000</v>
      </c>
      <c r="J785" t="s">
        <v>144</v>
      </c>
    </row>
    <row r="786" spans="1:10" hidden="1" x14ac:dyDescent="0.25">
      <c r="A786" s="2">
        <v>45952</v>
      </c>
      <c r="B786" t="s">
        <v>66</v>
      </c>
      <c r="C786" t="s">
        <v>67</v>
      </c>
      <c r="D786" t="s">
        <v>68</v>
      </c>
      <c r="H786">
        <v>240000</v>
      </c>
      <c r="I786">
        <v>240000</v>
      </c>
      <c r="J786" t="s">
        <v>144</v>
      </c>
    </row>
    <row r="787" spans="1:10" hidden="1" x14ac:dyDescent="0.25">
      <c r="A787" s="2">
        <v>45960</v>
      </c>
      <c r="B787" t="s">
        <v>66</v>
      </c>
      <c r="C787" t="s">
        <v>67</v>
      </c>
      <c r="D787" t="s">
        <v>68</v>
      </c>
      <c r="H787">
        <v>240000</v>
      </c>
      <c r="I787">
        <v>240000</v>
      </c>
      <c r="J787" t="s">
        <v>144</v>
      </c>
    </row>
    <row r="788" spans="1:10" hidden="1" x14ac:dyDescent="0.25">
      <c r="A788" s="2">
        <v>45968</v>
      </c>
      <c r="B788" t="s">
        <v>66</v>
      </c>
      <c r="C788" t="s">
        <v>67</v>
      </c>
      <c r="D788" t="s">
        <v>68</v>
      </c>
      <c r="H788">
        <v>240000</v>
      </c>
      <c r="I788">
        <v>240000</v>
      </c>
      <c r="J788" t="s">
        <v>144</v>
      </c>
    </row>
    <row r="789" spans="1:10" hidden="1" x14ac:dyDescent="0.25">
      <c r="A789" s="2">
        <v>45969</v>
      </c>
      <c r="B789" t="s">
        <v>66</v>
      </c>
      <c r="C789" t="s">
        <v>67</v>
      </c>
      <c r="D789" t="s">
        <v>68</v>
      </c>
      <c r="H789">
        <v>240000</v>
      </c>
      <c r="I789">
        <v>240000</v>
      </c>
      <c r="J789" t="s">
        <v>144</v>
      </c>
    </row>
    <row r="790" spans="1:10" hidden="1" x14ac:dyDescent="0.25">
      <c r="A790" s="2">
        <v>45984</v>
      </c>
      <c r="B790" t="s">
        <v>66</v>
      </c>
      <c r="C790" t="s">
        <v>67</v>
      </c>
      <c r="D790" t="s">
        <v>68</v>
      </c>
      <c r="H790">
        <v>240000</v>
      </c>
      <c r="I790">
        <v>240000</v>
      </c>
      <c r="J790" t="s">
        <v>144</v>
      </c>
    </row>
    <row r="791" spans="1:10" hidden="1" x14ac:dyDescent="0.25">
      <c r="A791" s="2">
        <v>45991</v>
      </c>
      <c r="B791" t="s">
        <v>66</v>
      </c>
      <c r="C791" t="s">
        <v>67</v>
      </c>
      <c r="D791" t="s">
        <v>68</v>
      </c>
      <c r="H791">
        <v>240000</v>
      </c>
      <c r="I791">
        <v>240000</v>
      </c>
      <c r="J791" t="s">
        <v>144</v>
      </c>
    </row>
    <row r="792" spans="1:10" hidden="1" x14ac:dyDescent="0.25">
      <c r="A792" s="2">
        <v>46004</v>
      </c>
      <c r="B792" t="s">
        <v>66</v>
      </c>
      <c r="C792" t="s">
        <v>67</v>
      </c>
      <c r="D792" t="s">
        <v>68</v>
      </c>
      <c r="H792">
        <v>240000</v>
      </c>
      <c r="I792">
        <v>240000</v>
      </c>
      <c r="J792" t="s">
        <v>144</v>
      </c>
    </row>
    <row r="793" spans="1:10" hidden="1" x14ac:dyDescent="0.25">
      <c r="A793" s="2">
        <v>46009</v>
      </c>
      <c r="B793" t="s">
        <v>66</v>
      </c>
      <c r="C793" t="s">
        <v>67</v>
      </c>
      <c r="D793" t="s">
        <v>68</v>
      </c>
      <c r="H793">
        <v>240000</v>
      </c>
      <c r="I793">
        <v>240000</v>
      </c>
      <c r="J793" t="s">
        <v>144</v>
      </c>
    </row>
    <row r="794" spans="1:10" hidden="1" x14ac:dyDescent="0.25">
      <c r="A794" s="2">
        <v>46016</v>
      </c>
      <c r="B794" t="s">
        <v>66</v>
      </c>
      <c r="C794" t="s">
        <v>67</v>
      </c>
      <c r="D794" t="s">
        <v>68</v>
      </c>
      <c r="H794">
        <v>240000</v>
      </c>
      <c r="I794">
        <v>240000</v>
      </c>
      <c r="J794" t="s">
        <v>144</v>
      </c>
    </row>
    <row r="795" spans="1:10" hidden="1" x14ac:dyDescent="0.25">
      <c r="A795" s="2">
        <v>46030</v>
      </c>
      <c r="B795" t="s">
        <v>66</v>
      </c>
      <c r="C795" t="s">
        <v>67</v>
      </c>
      <c r="D795" t="s">
        <v>68</v>
      </c>
      <c r="H795">
        <v>240000</v>
      </c>
      <c r="I795">
        <v>240000</v>
      </c>
      <c r="J795" t="s">
        <v>144</v>
      </c>
    </row>
    <row r="796" spans="1:10" hidden="1" x14ac:dyDescent="0.25">
      <c r="A796" s="2">
        <v>46039</v>
      </c>
      <c r="B796" t="s">
        <v>66</v>
      </c>
      <c r="C796" t="s">
        <v>67</v>
      </c>
      <c r="D796" t="s">
        <v>68</v>
      </c>
      <c r="H796">
        <v>240000</v>
      </c>
      <c r="I796">
        <v>240000</v>
      </c>
      <c r="J796" t="s">
        <v>144</v>
      </c>
    </row>
    <row r="797" spans="1:10" hidden="1" x14ac:dyDescent="0.25">
      <c r="A797" s="2">
        <v>46047</v>
      </c>
      <c r="B797" t="s">
        <v>66</v>
      </c>
      <c r="C797" t="s">
        <v>67</v>
      </c>
      <c r="D797" t="s">
        <v>68</v>
      </c>
      <c r="H797">
        <v>240000</v>
      </c>
      <c r="I797">
        <v>240000</v>
      </c>
      <c r="J797" t="s">
        <v>144</v>
      </c>
    </row>
    <row r="798" spans="1:10" hidden="1" x14ac:dyDescent="0.25">
      <c r="A798" s="2">
        <v>46057</v>
      </c>
      <c r="B798" t="s">
        <v>66</v>
      </c>
      <c r="C798" t="s">
        <v>67</v>
      </c>
      <c r="D798" t="s">
        <v>68</v>
      </c>
      <c r="H798">
        <v>240000</v>
      </c>
      <c r="I798">
        <v>240000</v>
      </c>
      <c r="J798" t="s">
        <v>144</v>
      </c>
    </row>
    <row r="799" spans="1:10" hidden="1" x14ac:dyDescent="0.25">
      <c r="A799" s="2">
        <v>46065</v>
      </c>
      <c r="B799" t="s">
        <v>66</v>
      </c>
      <c r="C799" t="s">
        <v>67</v>
      </c>
      <c r="D799" t="s">
        <v>68</v>
      </c>
      <c r="H799">
        <v>240000</v>
      </c>
      <c r="I799">
        <v>240000</v>
      </c>
      <c r="J799" t="s">
        <v>144</v>
      </c>
    </row>
    <row r="800" spans="1:10" hidden="1" x14ac:dyDescent="0.25">
      <c r="A800" s="2">
        <v>46073</v>
      </c>
      <c r="B800" t="s">
        <v>66</v>
      </c>
      <c r="C800" t="s">
        <v>67</v>
      </c>
      <c r="D800" t="s">
        <v>68</v>
      </c>
      <c r="H800">
        <v>240000</v>
      </c>
      <c r="I800">
        <v>240000</v>
      </c>
      <c r="J800" t="s">
        <v>144</v>
      </c>
    </row>
    <row r="801" spans="1:10" hidden="1" x14ac:dyDescent="0.25">
      <c r="A801" s="2">
        <v>46081</v>
      </c>
      <c r="B801" t="s">
        <v>66</v>
      </c>
      <c r="C801" t="s">
        <v>67</v>
      </c>
      <c r="D801" t="s">
        <v>68</v>
      </c>
      <c r="H801">
        <v>240000</v>
      </c>
      <c r="I801">
        <v>240000</v>
      </c>
      <c r="J801" t="s">
        <v>144</v>
      </c>
    </row>
    <row r="802" spans="1:10" hidden="1" x14ac:dyDescent="0.25">
      <c r="A802" s="2">
        <v>46089</v>
      </c>
      <c r="B802" t="s">
        <v>66</v>
      </c>
      <c r="C802" t="s">
        <v>67</v>
      </c>
      <c r="D802" t="s">
        <v>68</v>
      </c>
      <c r="H802">
        <v>240000</v>
      </c>
      <c r="I802">
        <v>240000</v>
      </c>
      <c r="J802" t="s">
        <v>144</v>
      </c>
    </row>
    <row r="803" spans="1:10" hidden="1" x14ac:dyDescent="0.25">
      <c r="A803" s="2">
        <v>46098</v>
      </c>
      <c r="B803" t="s">
        <v>66</v>
      </c>
      <c r="C803" t="s">
        <v>67</v>
      </c>
      <c r="D803" t="s">
        <v>68</v>
      </c>
      <c r="H803">
        <v>240000</v>
      </c>
      <c r="I803">
        <v>240000</v>
      </c>
      <c r="J803" t="s">
        <v>144</v>
      </c>
    </row>
    <row r="804" spans="1:10" hidden="1" x14ac:dyDescent="0.25">
      <c r="A804" s="2">
        <v>46107</v>
      </c>
      <c r="B804" t="s">
        <v>66</v>
      </c>
      <c r="C804" t="s">
        <v>67</v>
      </c>
      <c r="D804" t="s">
        <v>68</v>
      </c>
      <c r="H804">
        <v>240000</v>
      </c>
      <c r="I804">
        <v>240000</v>
      </c>
      <c r="J804" t="s">
        <v>144</v>
      </c>
    </row>
    <row r="805" spans="1:10" hidden="1" x14ac:dyDescent="0.25">
      <c r="A805" s="2">
        <v>46116</v>
      </c>
      <c r="B805" t="s">
        <v>66</v>
      </c>
      <c r="C805" t="s">
        <v>67</v>
      </c>
      <c r="D805" t="s">
        <v>68</v>
      </c>
      <c r="H805">
        <v>240000</v>
      </c>
      <c r="I805">
        <v>240000</v>
      </c>
      <c r="J805" t="s">
        <v>144</v>
      </c>
    </row>
    <row r="806" spans="1:10" hidden="1" x14ac:dyDescent="0.25">
      <c r="A806" s="2">
        <v>46124</v>
      </c>
      <c r="B806" t="s">
        <v>66</v>
      </c>
      <c r="C806" t="s">
        <v>67</v>
      </c>
      <c r="D806" t="s">
        <v>68</v>
      </c>
      <c r="H806">
        <v>240000</v>
      </c>
      <c r="I806">
        <v>240000</v>
      </c>
      <c r="J806" t="s">
        <v>144</v>
      </c>
    </row>
    <row r="807" spans="1:10" hidden="1" x14ac:dyDescent="0.25">
      <c r="A807" s="2">
        <v>46132</v>
      </c>
      <c r="B807" t="s">
        <v>66</v>
      </c>
      <c r="C807" t="s">
        <v>67</v>
      </c>
      <c r="D807" t="s">
        <v>68</v>
      </c>
      <c r="H807">
        <v>240000</v>
      </c>
      <c r="I807">
        <v>240000</v>
      </c>
      <c r="J807" t="s">
        <v>144</v>
      </c>
    </row>
    <row r="808" spans="1:10" hidden="1" x14ac:dyDescent="0.25">
      <c r="A808" s="2">
        <v>46140</v>
      </c>
      <c r="B808" t="s">
        <v>66</v>
      </c>
      <c r="C808" t="s">
        <v>67</v>
      </c>
      <c r="D808" t="s">
        <v>68</v>
      </c>
      <c r="H808">
        <v>240000</v>
      </c>
      <c r="I808">
        <v>240000</v>
      </c>
      <c r="J808" t="s">
        <v>144</v>
      </c>
    </row>
    <row r="809" spans="1:10" hidden="1" x14ac:dyDescent="0.25">
      <c r="A809" s="2">
        <v>46148</v>
      </c>
      <c r="B809" t="s">
        <v>66</v>
      </c>
      <c r="C809" t="s">
        <v>67</v>
      </c>
      <c r="D809" t="s">
        <v>68</v>
      </c>
      <c r="H809">
        <v>240000</v>
      </c>
      <c r="I809">
        <v>240000</v>
      </c>
      <c r="J809" t="s">
        <v>144</v>
      </c>
    </row>
    <row r="810" spans="1:10" hidden="1" x14ac:dyDescent="0.25">
      <c r="A810" s="2">
        <v>46157</v>
      </c>
      <c r="B810" t="s">
        <v>66</v>
      </c>
      <c r="C810" t="s">
        <v>67</v>
      </c>
      <c r="D810" t="s">
        <v>68</v>
      </c>
      <c r="H810">
        <v>240000</v>
      </c>
      <c r="I810">
        <v>240000</v>
      </c>
      <c r="J810" t="s">
        <v>144</v>
      </c>
    </row>
    <row r="811" spans="1:10" hidden="1" x14ac:dyDescent="0.25">
      <c r="A811" s="2">
        <v>46165</v>
      </c>
      <c r="B811" t="s">
        <v>66</v>
      </c>
      <c r="C811" t="s">
        <v>67</v>
      </c>
      <c r="D811" t="s">
        <v>68</v>
      </c>
      <c r="H811">
        <v>240000</v>
      </c>
      <c r="I811">
        <v>240000</v>
      </c>
      <c r="J811" t="s">
        <v>144</v>
      </c>
    </row>
    <row r="812" spans="1:10" hidden="1" x14ac:dyDescent="0.25">
      <c r="A812" s="2">
        <v>46173</v>
      </c>
      <c r="B812" t="s">
        <v>66</v>
      </c>
      <c r="C812" t="s">
        <v>67</v>
      </c>
      <c r="D812" t="s">
        <v>68</v>
      </c>
      <c r="H812">
        <v>240000</v>
      </c>
      <c r="I812">
        <v>240000</v>
      </c>
      <c r="J812" t="s">
        <v>144</v>
      </c>
    </row>
    <row r="813" spans="1:10" hidden="1" x14ac:dyDescent="0.25">
      <c r="A813" s="2">
        <v>46182</v>
      </c>
      <c r="B813" t="s">
        <v>66</v>
      </c>
      <c r="C813" t="s">
        <v>67</v>
      </c>
      <c r="D813" t="s">
        <v>68</v>
      </c>
      <c r="H813">
        <v>240000</v>
      </c>
      <c r="I813">
        <v>240000</v>
      </c>
      <c r="J813" t="s">
        <v>144</v>
      </c>
    </row>
    <row r="814" spans="1:10" hidden="1" x14ac:dyDescent="0.25">
      <c r="A814" s="2">
        <v>46191</v>
      </c>
      <c r="B814" t="s">
        <v>66</v>
      </c>
      <c r="C814" t="s">
        <v>67</v>
      </c>
      <c r="D814" t="s">
        <v>68</v>
      </c>
      <c r="H814">
        <v>240000</v>
      </c>
      <c r="I814">
        <v>240000</v>
      </c>
      <c r="J814" t="s">
        <v>144</v>
      </c>
    </row>
    <row r="815" spans="1:10" hidden="1" x14ac:dyDescent="0.25">
      <c r="A815" s="2">
        <v>46200</v>
      </c>
      <c r="B815" t="s">
        <v>66</v>
      </c>
      <c r="C815" t="s">
        <v>67</v>
      </c>
      <c r="D815" t="s">
        <v>68</v>
      </c>
      <c r="H815">
        <v>240000</v>
      </c>
      <c r="I815">
        <v>240000</v>
      </c>
      <c r="J815" t="s">
        <v>144</v>
      </c>
    </row>
    <row r="816" spans="1:10" hidden="1" x14ac:dyDescent="0.25">
      <c r="A816" s="2">
        <v>46208</v>
      </c>
      <c r="B816" t="s">
        <v>66</v>
      </c>
      <c r="C816" t="s">
        <v>67</v>
      </c>
      <c r="D816" t="s">
        <v>68</v>
      </c>
      <c r="H816">
        <v>240000</v>
      </c>
      <c r="I816">
        <v>240000</v>
      </c>
      <c r="J816" t="s">
        <v>144</v>
      </c>
    </row>
    <row r="817" spans="1:10" hidden="1" x14ac:dyDescent="0.25">
      <c r="A817" s="2">
        <v>46216</v>
      </c>
      <c r="B817" t="s">
        <v>66</v>
      </c>
      <c r="C817" t="s">
        <v>67</v>
      </c>
      <c r="D817" t="s">
        <v>68</v>
      </c>
      <c r="H817">
        <v>240000</v>
      </c>
      <c r="I817">
        <v>240000</v>
      </c>
      <c r="J817" t="s">
        <v>144</v>
      </c>
    </row>
    <row r="818" spans="1:10" hidden="1" x14ac:dyDescent="0.25">
      <c r="A818" s="2">
        <v>46224</v>
      </c>
      <c r="B818" t="s">
        <v>66</v>
      </c>
      <c r="C818" t="s">
        <v>67</v>
      </c>
      <c r="D818" t="s">
        <v>68</v>
      </c>
      <c r="H818">
        <v>240000</v>
      </c>
      <c r="I818">
        <v>240000</v>
      </c>
      <c r="J818" t="s">
        <v>144</v>
      </c>
    </row>
    <row r="819" spans="1:10" hidden="1" x14ac:dyDescent="0.25">
      <c r="A819" s="2">
        <v>45832</v>
      </c>
      <c r="B819" t="s">
        <v>70</v>
      </c>
      <c r="C819" t="s">
        <v>71</v>
      </c>
      <c r="D819" t="s">
        <v>72</v>
      </c>
      <c r="H819">
        <v>240000</v>
      </c>
      <c r="I819">
        <v>240000</v>
      </c>
      <c r="J819" t="s">
        <v>144</v>
      </c>
    </row>
    <row r="820" spans="1:10" hidden="1" x14ac:dyDescent="0.25">
      <c r="A820" s="2">
        <v>45839</v>
      </c>
      <c r="B820" t="s">
        <v>70</v>
      </c>
      <c r="C820" t="s">
        <v>71</v>
      </c>
      <c r="D820" t="s">
        <v>72</v>
      </c>
      <c r="H820">
        <v>240000</v>
      </c>
      <c r="I820">
        <v>240000</v>
      </c>
      <c r="J820" t="s">
        <v>144</v>
      </c>
    </row>
    <row r="821" spans="1:10" hidden="1" x14ac:dyDescent="0.25">
      <c r="A821" s="2">
        <v>45866</v>
      </c>
      <c r="B821" t="s">
        <v>70</v>
      </c>
      <c r="C821" t="s">
        <v>71</v>
      </c>
      <c r="D821" t="s">
        <v>72</v>
      </c>
      <c r="H821">
        <v>240000</v>
      </c>
      <c r="I821">
        <v>240000</v>
      </c>
      <c r="J821" t="s">
        <v>144</v>
      </c>
    </row>
    <row r="822" spans="1:10" hidden="1" x14ac:dyDescent="0.25">
      <c r="A822" s="2">
        <v>45877</v>
      </c>
      <c r="B822" t="s">
        <v>70</v>
      </c>
      <c r="C822" t="s">
        <v>71</v>
      </c>
      <c r="D822" t="s">
        <v>72</v>
      </c>
      <c r="H822">
        <v>240000</v>
      </c>
      <c r="I822">
        <v>240000</v>
      </c>
      <c r="J822" t="s">
        <v>144</v>
      </c>
    </row>
    <row r="823" spans="1:10" hidden="1" x14ac:dyDescent="0.25">
      <c r="A823" s="2">
        <v>45893</v>
      </c>
      <c r="B823" t="s">
        <v>70</v>
      </c>
      <c r="C823" t="s">
        <v>71</v>
      </c>
      <c r="D823" t="s">
        <v>72</v>
      </c>
      <c r="H823">
        <v>240000</v>
      </c>
      <c r="I823">
        <v>240000</v>
      </c>
      <c r="J823" t="s">
        <v>144</v>
      </c>
    </row>
    <row r="824" spans="1:10" hidden="1" x14ac:dyDescent="0.25">
      <c r="A824" s="2">
        <v>45905</v>
      </c>
      <c r="B824" t="s">
        <v>70</v>
      </c>
      <c r="C824" t="s">
        <v>71</v>
      </c>
      <c r="D824" t="s">
        <v>72</v>
      </c>
      <c r="H824">
        <v>240000</v>
      </c>
      <c r="I824">
        <v>240000</v>
      </c>
      <c r="J824" t="s">
        <v>144</v>
      </c>
    </row>
    <row r="825" spans="1:10" hidden="1" x14ac:dyDescent="0.25">
      <c r="A825" s="2">
        <v>45912</v>
      </c>
      <c r="B825" t="s">
        <v>70</v>
      </c>
      <c r="C825" t="s">
        <v>71</v>
      </c>
      <c r="D825" t="s">
        <v>72</v>
      </c>
      <c r="H825">
        <v>240000</v>
      </c>
      <c r="I825">
        <v>240000</v>
      </c>
      <c r="J825" t="s">
        <v>144</v>
      </c>
    </row>
    <row r="826" spans="1:10" hidden="1" x14ac:dyDescent="0.25">
      <c r="A826" s="2">
        <v>45918</v>
      </c>
      <c r="B826" t="s">
        <v>70</v>
      </c>
      <c r="C826" t="s">
        <v>71</v>
      </c>
      <c r="D826" t="s">
        <v>72</v>
      </c>
      <c r="H826">
        <v>240000</v>
      </c>
      <c r="I826">
        <v>240000</v>
      </c>
      <c r="J826" t="s">
        <v>144</v>
      </c>
    </row>
    <row r="827" spans="1:10" hidden="1" x14ac:dyDescent="0.25">
      <c r="A827" s="2">
        <v>45926</v>
      </c>
      <c r="B827" t="s">
        <v>70</v>
      </c>
      <c r="C827" t="s">
        <v>71</v>
      </c>
      <c r="D827" t="s">
        <v>72</v>
      </c>
      <c r="H827">
        <v>240000</v>
      </c>
      <c r="I827">
        <v>240000</v>
      </c>
      <c r="J827" t="s">
        <v>144</v>
      </c>
    </row>
    <row r="828" spans="1:10" hidden="1" x14ac:dyDescent="0.25">
      <c r="A828" s="2">
        <v>45936</v>
      </c>
      <c r="B828" t="s">
        <v>70</v>
      </c>
      <c r="C828" t="s">
        <v>71</v>
      </c>
      <c r="D828" t="s">
        <v>72</v>
      </c>
      <c r="H828">
        <v>240000</v>
      </c>
      <c r="I828">
        <v>240000</v>
      </c>
      <c r="J828" t="s">
        <v>144</v>
      </c>
    </row>
    <row r="829" spans="1:10" hidden="1" x14ac:dyDescent="0.25">
      <c r="A829" s="2">
        <v>45944</v>
      </c>
      <c r="B829" t="s">
        <v>70</v>
      </c>
      <c r="C829" t="s">
        <v>71</v>
      </c>
      <c r="D829" t="s">
        <v>72</v>
      </c>
      <c r="H829">
        <v>240000</v>
      </c>
      <c r="I829">
        <v>240000</v>
      </c>
      <c r="J829" t="s">
        <v>144</v>
      </c>
    </row>
    <row r="830" spans="1:10" hidden="1" x14ac:dyDescent="0.25">
      <c r="A830" s="2">
        <v>45948</v>
      </c>
      <c r="B830" t="s">
        <v>70</v>
      </c>
      <c r="C830" t="s">
        <v>71</v>
      </c>
      <c r="D830" t="s">
        <v>72</v>
      </c>
      <c r="H830">
        <v>240000</v>
      </c>
      <c r="I830">
        <v>240000</v>
      </c>
      <c r="J830" t="s">
        <v>144</v>
      </c>
    </row>
    <row r="831" spans="1:10" hidden="1" x14ac:dyDescent="0.25">
      <c r="A831" s="2">
        <v>45957</v>
      </c>
      <c r="B831" t="s">
        <v>70</v>
      </c>
      <c r="C831" t="s">
        <v>71</v>
      </c>
      <c r="D831" t="s">
        <v>72</v>
      </c>
      <c r="H831">
        <v>240000</v>
      </c>
      <c r="I831">
        <v>240000</v>
      </c>
      <c r="J831" t="s">
        <v>144</v>
      </c>
    </row>
    <row r="832" spans="1:10" hidden="1" x14ac:dyDescent="0.25">
      <c r="A832" s="2">
        <v>45963</v>
      </c>
      <c r="B832" t="s">
        <v>70</v>
      </c>
      <c r="C832" t="s">
        <v>71</v>
      </c>
      <c r="D832" t="s">
        <v>72</v>
      </c>
      <c r="H832">
        <v>240000</v>
      </c>
      <c r="I832">
        <v>240000</v>
      </c>
      <c r="J832" t="s">
        <v>144</v>
      </c>
    </row>
    <row r="833" spans="1:10" hidden="1" x14ac:dyDescent="0.25">
      <c r="A833" s="2">
        <v>45974</v>
      </c>
      <c r="B833" t="s">
        <v>70</v>
      </c>
      <c r="C833" t="s">
        <v>71</v>
      </c>
      <c r="D833" t="s">
        <v>72</v>
      </c>
      <c r="H833">
        <v>240000</v>
      </c>
      <c r="I833">
        <v>240000</v>
      </c>
      <c r="J833" t="s">
        <v>144</v>
      </c>
    </row>
    <row r="834" spans="1:10" hidden="1" x14ac:dyDescent="0.25">
      <c r="A834" s="2">
        <v>45985</v>
      </c>
      <c r="B834" t="s">
        <v>70</v>
      </c>
      <c r="C834" t="s">
        <v>71</v>
      </c>
      <c r="D834" t="s">
        <v>72</v>
      </c>
      <c r="H834">
        <v>240000</v>
      </c>
      <c r="I834">
        <v>240000</v>
      </c>
      <c r="J834" t="s">
        <v>144</v>
      </c>
    </row>
    <row r="835" spans="1:10" hidden="1" x14ac:dyDescent="0.25">
      <c r="A835" s="2">
        <v>45990</v>
      </c>
      <c r="B835" t="s">
        <v>70</v>
      </c>
      <c r="C835" t="s">
        <v>71</v>
      </c>
      <c r="D835" t="s">
        <v>72</v>
      </c>
      <c r="H835">
        <v>240000</v>
      </c>
      <c r="I835">
        <v>240000</v>
      </c>
      <c r="J835" t="s">
        <v>144</v>
      </c>
    </row>
    <row r="836" spans="1:10" hidden="1" x14ac:dyDescent="0.25">
      <c r="A836" s="2">
        <v>46001</v>
      </c>
      <c r="B836" t="s">
        <v>70</v>
      </c>
      <c r="C836" t="s">
        <v>71</v>
      </c>
      <c r="D836" t="s">
        <v>72</v>
      </c>
      <c r="H836">
        <v>240000</v>
      </c>
      <c r="I836">
        <v>240000</v>
      </c>
      <c r="J836" t="s">
        <v>144</v>
      </c>
    </row>
    <row r="837" spans="1:10" hidden="1" x14ac:dyDescent="0.25">
      <c r="A837" s="2">
        <v>46007</v>
      </c>
      <c r="B837" t="s">
        <v>70</v>
      </c>
      <c r="C837" t="s">
        <v>71</v>
      </c>
      <c r="D837" t="s">
        <v>72</v>
      </c>
      <c r="H837">
        <v>240000</v>
      </c>
      <c r="I837">
        <v>240000</v>
      </c>
      <c r="J837" t="s">
        <v>144</v>
      </c>
    </row>
    <row r="838" spans="1:10" hidden="1" x14ac:dyDescent="0.25">
      <c r="A838" s="2">
        <v>46014</v>
      </c>
      <c r="B838" t="s">
        <v>70</v>
      </c>
      <c r="C838" t="s">
        <v>71</v>
      </c>
      <c r="D838" t="s">
        <v>72</v>
      </c>
      <c r="H838">
        <v>240000</v>
      </c>
      <c r="I838">
        <v>240000</v>
      </c>
      <c r="J838" t="s">
        <v>144</v>
      </c>
    </row>
    <row r="839" spans="1:10" hidden="1" x14ac:dyDescent="0.25">
      <c r="A839" s="2">
        <v>46020</v>
      </c>
      <c r="B839" t="s">
        <v>70</v>
      </c>
      <c r="C839" t="s">
        <v>71</v>
      </c>
      <c r="D839" t="s">
        <v>72</v>
      </c>
      <c r="H839">
        <v>240000</v>
      </c>
      <c r="I839">
        <v>240000</v>
      </c>
      <c r="J839" t="s">
        <v>144</v>
      </c>
    </row>
    <row r="840" spans="1:10" hidden="1" x14ac:dyDescent="0.25">
      <c r="A840" s="2">
        <v>46032</v>
      </c>
      <c r="B840" t="s">
        <v>70</v>
      </c>
      <c r="C840" t="s">
        <v>71</v>
      </c>
      <c r="D840" t="s">
        <v>72</v>
      </c>
      <c r="H840">
        <v>240000</v>
      </c>
      <c r="I840">
        <v>240000</v>
      </c>
      <c r="J840" t="s">
        <v>144</v>
      </c>
    </row>
    <row r="841" spans="1:10" hidden="1" x14ac:dyDescent="0.25">
      <c r="A841" s="2">
        <v>46045</v>
      </c>
      <c r="B841" t="s">
        <v>70</v>
      </c>
      <c r="C841" t="s">
        <v>71</v>
      </c>
      <c r="D841" t="s">
        <v>72</v>
      </c>
      <c r="H841">
        <v>240000</v>
      </c>
      <c r="I841">
        <v>240000</v>
      </c>
      <c r="J841" t="s">
        <v>144</v>
      </c>
    </row>
    <row r="842" spans="1:10" hidden="1" x14ac:dyDescent="0.25">
      <c r="A842" s="2">
        <v>46070</v>
      </c>
      <c r="B842" t="s">
        <v>70</v>
      </c>
      <c r="C842" t="s">
        <v>71</v>
      </c>
      <c r="D842" t="s">
        <v>72</v>
      </c>
      <c r="H842">
        <v>240000</v>
      </c>
      <c r="I842">
        <v>240000</v>
      </c>
      <c r="J842" t="s">
        <v>144</v>
      </c>
    </row>
    <row r="843" spans="1:10" hidden="1" x14ac:dyDescent="0.25">
      <c r="A843" s="2">
        <v>46077</v>
      </c>
      <c r="B843" t="s">
        <v>70</v>
      </c>
      <c r="C843" t="s">
        <v>71</v>
      </c>
      <c r="D843" t="s">
        <v>72</v>
      </c>
      <c r="H843">
        <v>240000</v>
      </c>
      <c r="I843">
        <v>240000</v>
      </c>
      <c r="J843" t="s">
        <v>144</v>
      </c>
    </row>
    <row r="844" spans="1:10" hidden="1" x14ac:dyDescent="0.25">
      <c r="A844" s="2">
        <v>46084</v>
      </c>
      <c r="B844" t="s">
        <v>70</v>
      </c>
      <c r="C844" t="s">
        <v>71</v>
      </c>
      <c r="D844" t="s">
        <v>72</v>
      </c>
      <c r="H844">
        <v>240000</v>
      </c>
      <c r="I844">
        <v>240000</v>
      </c>
      <c r="J844" t="s">
        <v>144</v>
      </c>
    </row>
    <row r="845" spans="1:10" hidden="1" x14ac:dyDescent="0.25">
      <c r="A845" s="2">
        <v>46091</v>
      </c>
      <c r="B845" t="s">
        <v>70</v>
      </c>
      <c r="C845" t="s">
        <v>71</v>
      </c>
      <c r="D845" t="s">
        <v>72</v>
      </c>
      <c r="H845">
        <v>240000</v>
      </c>
      <c r="I845">
        <v>240000</v>
      </c>
      <c r="J845" t="s">
        <v>144</v>
      </c>
    </row>
    <row r="846" spans="1:10" hidden="1" x14ac:dyDescent="0.25">
      <c r="A846" s="2">
        <v>46098</v>
      </c>
      <c r="B846" t="s">
        <v>70</v>
      </c>
      <c r="C846" t="s">
        <v>71</v>
      </c>
      <c r="D846" t="s">
        <v>72</v>
      </c>
      <c r="H846">
        <v>240000</v>
      </c>
      <c r="I846">
        <v>240000</v>
      </c>
      <c r="J846" t="s">
        <v>144</v>
      </c>
    </row>
    <row r="847" spans="1:10" hidden="1" x14ac:dyDescent="0.25">
      <c r="A847" s="2">
        <v>46105</v>
      </c>
      <c r="B847" t="s">
        <v>70</v>
      </c>
      <c r="C847" t="s">
        <v>71</v>
      </c>
      <c r="D847" t="s">
        <v>72</v>
      </c>
      <c r="H847">
        <v>240000</v>
      </c>
      <c r="I847">
        <v>240000</v>
      </c>
      <c r="J847" t="s">
        <v>144</v>
      </c>
    </row>
    <row r="848" spans="1:10" hidden="1" x14ac:dyDescent="0.25">
      <c r="A848" s="2">
        <v>46113</v>
      </c>
      <c r="B848" t="s">
        <v>70</v>
      </c>
      <c r="C848" t="s">
        <v>71</v>
      </c>
      <c r="D848" t="s">
        <v>72</v>
      </c>
      <c r="H848">
        <v>240000</v>
      </c>
      <c r="I848">
        <v>240000</v>
      </c>
      <c r="J848" t="s">
        <v>144</v>
      </c>
    </row>
    <row r="849" spans="1:10" hidden="1" x14ac:dyDescent="0.25">
      <c r="A849" s="2">
        <v>46120</v>
      </c>
      <c r="B849" t="s">
        <v>70</v>
      </c>
      <c r="C849" t="s">
        <v>71</v>
      </c>
      <c r="D849" t="s">
        <v>72</v>
      </c>
      <c r="H849">
        <v>240000</v>
      </c>
      <c r="I849">
        <v>240000</v>
      </c>
      <c r="J849" t="s">
        <v>144</v>
      </c>
    </row>
    <row r="850" spans="1:10" hidden="1" x14ac:dyDescent="0.25">
      <c r="A850" s="2">
        <v>46128</v>
      </c>
      <c r="B850" t="s">
        <v>70</v>
      </c>
      <c r="C850" t="s">
        <v>71</v>
      </c>
      <c r="D850" t="s">
        <v>72</v>
      </c>
      <c r="H850">
        <v>240000</v>
      </c>
      <c r="I850">
        <v>240000</v>
      </c>
      <c r="J850" t="s">
        <v>144</v>
      </c>
    </row>
    <row r="851" spans="1:10" hidden="1" x14ac:dyDescent="0.25">
      <c r="A851" s="2">
        <v>46137</v>
      </c>
      <c r="B851" t="s">
        <v>70</v>
      </c>
      <c r="C851" t="s">
        <v>71</v>
      </c>
      <c r="D851" t="s">
        <v>72</v>
      </c>
      <c r="H851">
        <v>240000</v>
      </c>
      <c r="I851">
        <v>240000</v>
      </c>
      <c r="J851" t="s">
        <v>144</v>
      </c>
    </row>
    <row r="852" spans="1:10" hidden="1" x14ac:dyDescent="0.25">
      <c r="A852" s="2">
        <v>46145</v>
      </c>
      <c r="B852" t="s">
        <v>70</v>
      </c>
      <c r="C852" t="s">
        <v>71</v>
      </c>
      <c r="D852" t="s">
        <v>72</v>
      </c>
      <c r="H852">
        <v>240000</v>
      </c>
      <c r="I852">
        <v>240000</v>
      </c>
      <c r="J852" t="s">
        <v>144</v>
      </c>
    </row>
    <row r="853" spans="1:10" hidden="1" x14ac:dyDescent="0.25">
      <c r="A853" s="2">
        <v>46154</v>
      </c>
      <c r="B853" t="s">
        <v>70</v>
      </c>
      <c r="C853" t="s">
        <v>71</v>
      </c>
      <c r="D853" t="s">
        <v>72</v>
      </c>
      <c r="H853">
        <v>240000</v>
      </c>
      <c r="I853">
        <v>240000</v>
      </c>
      <c r="J853" t="s">
        <v>144</v>
      </c>
    </row>
    <row r="854" spans="1:10" hidden="1" x14ac:dyDescent="0.25">
      <c r="A854" s="2">
        <v>46160</v>
      </c>
      <c r="B854" t="s">
        <v>70</v>
      </c>
      <c r="C854" t="s">
        <v>71</v>
      </c>
      <c r="D854" t="s">
        <v>72</v>
      </c>
      <c r="H854">
        <v>240000</v>
      </c>
      <c r="I854">
        <v>240000</v>
      </c>
      <c r="J854" t="s">
        <v>144</v>
      </c>
    </row>
    <row r="855" spans="1:10" hidden="1" x14ac:dyDescent="0.25">
      <c r="A855" s="2">
        <v>46173</v>
      </c>
      <c r="B855" t="s">
        <v>70</v>
      </c>
      <c r="C855" t="s">
        <v>71</v>
      </c>
      <c r="D855" t="s">
        <v>72</v>
      </c>
      <c r="H855">
        <v>240000</v>
      </c>
      <c r="I855">
        <v>240000</v>
      </c>
      <c r="J855" t="s">
        <v>144</v>
      </c>
    </row>
    <row r="856" spans="1:10" hidden="1" x14ac:dyDescent="0.25">
      <c r="A856" s="2">
        <v>46183</v>
      </c>
      <c r="B856" t="s">
        <v>70</v>
      </c>
      <c r="C856" t="s">
        <v>71</v>
      </c>
      <c r="D856" t="s">
        <v>72</v>
      </c>
      <c r="H856">
        <v>240000</v>
      </c>
      <c r="I856">
        <v>240000</v>
      </c>
      <c r="J856" t="s">
        <v>144</v>
      </c>
    </row>
    <row r="857" spans="1:10" hidden="1" x14ac:dyDescent="0.25">
      <c r="A857" s="2">
        <v>46188</v>
      </c>
      <c r="B857" t="s">
        <v>70</v>
      </c>
      <c r="C857" t="s">
        <v>71</v>
      </c>
      <c r="D857" t="s">
        <v>72</v>
      </c>
      <c r="H857">
        <v>240000</v>
      </c>
      <c r="I857">
        <v>240000</v>
      </c>
      <c r="J857" t="s">
        <v>144</v>
      </c>
    </row>
    <row r="858" spans="1:10" hidden="1" x14ac:dyDescent="0.25">
      <c r="A858" s="2">
        <v>46196</v>
      </c>
      <c r="B858" t="s">
        <v>70</v>
      </c>
      <c r="C858" t="s">
        <v>71</v>
      </c>
      <c r="D858" t="s">
        <v>72</v>
      </c>
      <c r="H858">
        <v>240000</v>
      </c>
      <c r="I858">
        <v>240000</v>
      </c>
      <c r="J858" t="s">
        <v>144</v>
      </c>
    </row>
    <row r="859" spans="1:10" hidden="1" x14ac:dyDescent="0.25">
      <c r="A859" s="2">
        <v>46201</v>
      </c>
      <c r="B859" t="s">
        <v>70</v>
      </c>
      <c r="C859" t="s">
        <v>71</v>
      </c>
      <c r="D859" t="s">
        <v>72</v>
      </c>
      <c r="H859">
        <v>240000</v>
      </c>
      <c r="I859">
        <v>240000</v>
      </c>
      <c r="J859" t="s">
        <v>144</v>
      </c>
    </row>
    <row r="860" spans="1:10" hidden="1" x14ac:dyDescent="0.25">
      <c r="A860" s="2">
        <v>46206</v>
      </c>
      <c r="B860" t="s">
        <v>70</v>
      </c>
      <c r="C860" t="s">
        <v>71</v>
      </c>
      <c r="D860" t="s">
        <v>72</v>
      </c>
      <c r="H860">
        <v>240000</v>
      </c>
      <c r="I860">
        <v>240000</v>
      </c>
      <c r="J860" t="s">
        <v>144</v>
      </c>
    </row>
    <row r="861" spans="1:10" hidden="1" x14ac:dyDescent="0.25">
      <c r="A861" s="2">
        <v>46219</v>
      </c>
      <c r="B861" t="s">
        <v>70</v>
      </c>
      <c r="C861" t="s">
        <v>71</v>
      </c>
      <c r="D861" t="s">
        <v>72</v>
      </c>
      <c r="H861">
        <v>240000</v>
      </c>
      <c r="I861">
        <v>240000</v>
      </c>
      <c r="J861" t="s">
        <v>144</v>
      </c>
    </row>
    <row r="862" spans="1:10" hidden="1" x14ac:dyDescent="0.25">
      <c r="A862" s="2">
        <v>45855</v>
      </c>
      <c r="B862" t="s">
        <v>74</v>
      </c>
      <c r="C862" t="s">
        <v>75</v>
      </c>
      <c r="D862" t="s">
        <v>76</v>
      </c>
      <c r="H862">
        <v>240000</v>
      </c>
      <c r="I862">
        <v>240000</v>
      </c>
      <c r="J862" t="s">
        <v>144</v>
      </c>
    </row>
    <row r="863" spans="1:10" hidden="1" x14ac:dyDescent="0.25">
      <c r="A863" s="2">
        <v>45862</v>
      </c>
      <c r="B863" t="s">
        <v>74</v>
      </c>
      <c r="C863" t="s">
        <v>75</v>
      </c>
      <c r="D863" t="s">
        <v>76</v>
      </c>
      <c r="H863">
        <v>240000</v>
      </c>
      <c r="I863">
        <v>240000</v>
      </c>
      <c r="J863" t="s">
        <v>144</v>
      </c>
    </row>
    <row r="864" spans="1:10" hidden="1" x14ac:dyDescent="0.25">
      <c r="A864" s="2">
        <v>45869</v>
      </c>
      <c r="B864" t="s">
        <v>74</v>
      </c>
      <c r="C864" t="s">
        <v>75</v>
      </c>
      <c r="D864" t="s">
        <v>76</v>
      </c>
      <c r="H864">
        <v>240000</v>
      </c>
      <c r="I864">
        <v>240000</v>
      </c>
      <c r="J864" t="s">
        <v>144</v>
      </c>
    </row>
    <row r="865" spans="1:10" hidden="1" x14ac:dyDescent="0.25">
      <c r="A865" s="2">
        <v>45885</v>
      </c>
      <c r="B865" t="s">
        <v>74</v>
      </c>
      <c r="C865" t="s">
        <v>75</v>
      </c>
      <c r="D865" t="s">
        <v>76</v>
      </c>
      <c r="H865">
        <v>240000</v>
      </c>
      <c r="I865">
        <v>240000</v>
      </c>
      <c r="J865" t="s">
        <v>144</v>
      </c>
    </row>
    <row r="866" spans="1:10" hidden="1" x14ac:dyDescent="0.25">
      <c r="A866" s="2">
        <v>45904</v>
      </c>
      <c r="B866" t="s">
        <v>74</v>
      </c>
      <c r="C866" t="s">
        <v>75</v>
      </c>
      <c r="D866" t="s">
        <v>76</v>
      </c>
      <c r="H866">
        <v>240000</v>
      </c>
      <c r="I866">
        <v>240000</v>
      </c>
      <c r="J866" t="s">
        <v>144</v>
      </c>
    </row>
    <row r="867" spans="1:10" hidden="1" x14ac:dyDescent="0.25">
      <c r="A867" s="2">
        <v>45912</v>
      </c>
      <c r="B867" t="s">
        <v>74</v>
      </c>
      <c r="C867" t="s">
        <v>75</v>
      </c>
      <c r="D867" t="s">
        <v>76</v>
      </c>
      <c r="H867">
        <v>240000</v>
      </c>
      <c r="I867">
        <v>240000</v>
      </c>
      <c r="J867" t="s">
        <v>144</v>
      </c>
    </row>
    <row r="868" spans="1:10" hidden="1" x14ac:dyDescent="0.25">
      <c r="A868" s="2">
        <v>45918</v>
      </c>
      <c r="B868" t="s">
        <v>74</v>
      </c>
      <c r="C868" t="s">
        <v>75</v>
      </c>
      <c r="D868" t="s">
        <v>76</v>
      </c>
      <c r="H868">
        <v>240000</v>
      </c>
      <c r="I868">
        <v>240000</v>
      </c>
      <c r="J868" t="s">
        <v>144</v>
      </c>
    </row>
    <row r="869" spans="1:10" hidden="1" x14ac:dyDescent="0.25">
      <c r="A869" s="2">
        <v>45926</v>
      </c>
      <c r="B869" t="s">
        <v>74</v>
      </c>
      <c r="C869" t="s">
        <v>75</v>
      </c>
      <c r="D869" t="s">
        <v>76</v>
      </c>
      <c r="H869">
        <v>240000</v>
      </c>
      <c r="I869">
        <v>240000</v>
      </c>
      <c r="J869" t="s">
        <v>144</v>
      </c>
    </row>
    <row r="870" spans="1:10" hidden="1" x14ac:dyDescent="0.25">
      <c r="A870" s="2">
        <v>45938</v>
      </c>
      <c r="B870" t="s">
        <v>74</v>
      </c>
      <c r="C870" t="s">
        <v>75</v>
      </c>
      <c r="D870" t="s">
        <v>76</v>
      </c>
      <c r="H870">
        <v>240000</v>
      </c>
      <c r="I870">
        <v>240000</v>
      </c>
      <c r="J870" t="s">
        <v>144</v>
      </c>
    </row>
    <row r="871" spans="1:10" hidden="1" x14ac:dyDescent="0.25">
      <c r="A871" s="2">
        <v>45942</v>
      </c>
      <c r="B871" t="s">
        <v>74</v>
      </c>
      <c r="C871" t="s">
        <v>75</v>
      </c>
      <c r="D871" t="s">
        <v>76</v>
      </c>
      <c r="H871">
        <v>240000</v>
      </c>
      <c r="I871">
        <v>240000</v>
      </c>
      <c r="J871" t="s">
        <v>144</v>
      </c>
    </row>
    <row r="872" spans="1:10" hidden="1" x14ac:dyDescent="0.25">
      <c r="A872" s="2">
        <v>45949</v>
      </c>
      <c r="B872" t="s">
        <v>74</v>
      </c>
      <c r="C872" t="s">
        <v>75</v>
      </c>
      <c r="D872" t="s">
        <v>76</v>
      </c>
      <c r="H872">
        <v>240000</v>
      </c>
      <c r="I872">
        <v>240000</v>
      </c>
      <c r="J872" t="s">
        <v>144</v>
      </c>
    </row>
    <row r="873" spans="1:10" hidden="1" x14ac:dyDescent="0.25">
      <c r="A873" s="2">
        <v>45957</v>
      </c>
      <c r="B873" t="s">
        <v>74</v>
      </c>
      <c r="C873" t="s">
        <v>75</v>
      </c>
      <c r="D873" t="s">
        <v>76</v>
      </c>
      <c r="H873">
        <v>240000</v>
      </c>
      <c r="I873">
        <v>240000</v>
      </c>
      <c r="J873" t="s">
        <v>144</v>
      </c>
    </row>
    <row r="874" spans="1:10" hidden="1" x14ac:dyDescent="0.25">
      <c r="A874" s="2">
        <v>45965</v>
      </c>
      <c r="B874" t="s">
        <v>74</v>
      </c>
      <c r="C874" t="s">
        <v>75</v>
      </c>
      <c r="D874" t="s">
        <v>76</v>
      </c>
      <c r="H874">
        <v>240000</v>
      </c>
      <c r="I874">
        <v>240000</v>
      </c>
      <c r="J874" t="s">
        <v>144</v>
      </c>
    </row>
    <row r="875" spans="1:10" hidden="1" x14ac:dyDescent="0.25">
      <c r="A875" s="2">
        <v>45973</v>
      </c>
      <c r="B875" t="s">
        <v>74</v>
      </c>
      <c r="C875" t="s">
        <v>75</v>
      </c>
      <c r="D875" t="s">
        <v>76</v>
      </c>
      <c r="H875">
        <v>240000</v>
      </c>
      <c r="I875">
        <v>240000</v>
      </c>
      <c r="J875" t="s">
        <v>144</v>
      </c>
    </row>
    <row r="876" spans="1:10" hidden="1" x14ac:dyDescent="0.25">
      <c r="A876" s="2">
        <v>45982</v>
      </c>
      <c r="B876" t="s">
        <v>74</v>
      </c>
      <c r="C876" t="s">
        <v>75</v>
      </c>
      <c r="D876" t="s">
        <v>76</v>
      </c>
      <c r="H876">
        <v>240000</v>
      </c>
      <c r="I876">
        <v>240000</v>
      </c>
      <c r="J876" t="s">
        <v>144</v>
      </c>
    </row>
    <row r="877" spans="1:10" hidden="1" x14ac:dyDescent="0.25">
      <c r="A877" s="2">
        <v>45990</v>
      </c>
      <c r="B877" t="s">
        <v>74</v>
      </c>
      <c r="C877" t="s">
        <v>75</v>
      </c>
      <c r="D877" t="s">
        <v>76</v>
      </c>
      <c r="H877">
        <v>240000</v>
      </c>
      <c r="I877">
        <v>240000</v>
      </c>
      <c r="J877" t="s">
        <v>144</v>
      </c>
    </row>
    <row r="878" spans="1:10" hidden="1" x14ac:dyDescent="0.25">
      <c r="A878" s="2">
        <v>45998</v>
      </c>
      <c r="B878" t="s">
        <v>74</v>
      </c>
      <c r="C878" t="s">
        <v>75</v>
      </c>
      <c r="D878" t="s">
        <v>76</v>
      </c>
      <c r="H878">
        <v>240000</v>
      </c>
      <c r="I878">
        <v>240000</v>
      </c>
      <c r="J878" t="s">
        <v>144</v>
      </c>
    </row>
    <row r="879" spans="1:10" hidden="1" x14ac:dyDescent="0.25">
      <c r="A879" s="2">
        <v>46007</v>
      </c>
      <c r="B879" t="s">
        <v>74</v>
      </c>
      <c r="C879" t="s">
        <v>75</v>
      </c>
      <c r="D879" t="s">
        <v>76</v>
      </c>
      <c r="H879">
        <v>240000</v>
      </c>
      <c r="I879">
        <v>240000</v>
      </c>
      <c r="J879" t="s">
        <v>144</v>
      </c>
    </row>
    <row r="880" spans="1:10" hidden="1" x14ac:dyDescent="0.25">
      <c r="A880" s="2">
        <v>46015</v>
      </c>
      <c r="B880" t="s">
        <v>74</v>
      </c>
      <c r="C880" t="s">
        <v>75</v>
      </c>
      <c r="D880" t="s">
        <v>76</v>
      </c>
      <c r="H880">
        <v>240000</v>
      </c>
      <c r="I880">
        <v>240000</v>
      </c>
      <c r="J880" t="s">
        <v>144</v>
      </c>
    </row>
    <row r="881" spans="1:10" hidden="1" x14ac:dyDescent="0.25">
      <c r="A881" s="2">
        <v>46030</v>
      </c>
      <c r="B881" t="s">
        <v>74</v>
      </c>
      <c r="C881" t="s">
        <v>75</v>
      </c>
      <c r="D881" t="s">
        <v>76</v>
      </c>
      <c r="H881">
        <v>240000</v>
      </c>
      <c r="I881">
        <v>240000</v>
      </c>
      <c r="J881" t="s">
        <v>144</v>
      </c>
    </row>
    <row r="882" spans="1:10" hidden="1" x14ac:dyDescent="0.25">
      <c r="A882" s="2">
        <v>46038</v>
      </c>
      <c r="B882" t="s">
        <v>74</v>
      </c>
      <c r="C882" t="s">
        <v>75</v>
      </c>
      <c r="D882" t="s">
        <v>76</v>
      </c>
      <c r="H882">
        <v>240000</v>
      </c>
      <c r="I882">
        <v>240000</v>
      </c>
      <c r="J882" t="s">
        <v>144</v>
      </c>
    </row>
    <row r="883" spans="1:10" hidden="1" x14ac:dyDescent="0.25">
      <c r="A883" s="2">
        <v>46046</v>
      </c>
      <c r="B883" t="s">
        <v>74</v>
      </c>
      <c r="C883" t="s">
        <v>75</v>
      </c>
      <c r="D883" t="s">
        <v>76</v>
      </c>
      <c r="H883">
        <v>240000</v>
      </c>
      <c r="I883">
        <v>240000</v>
      </c>
      <c r="J883" t="s">
        <v>144</v>
      </c>
    </row>
    <row r="884" spans="1:10" hidden="1" x14ac:dyDescent="0.25">
      <c r="A884" s="2">
        <v>46055</v>
      </c>
      <c r="B884" t="s">
        <v>74</v>
      </c>
      <c r="C884" t="s">
        <v>75</v>
      </c>
      <c r="D884" t="s">
        <v>76</v>
      </c>
      <c r="H884">
        <v>240000</v>
      </c>
      <c r="I884">
        <v>240000</v>
      </c>
      <c r="J884" t="s">
        <v>144</v>
      </c>
    </row>
    <row r="885" spans="1:10" hidden="1" x14ac:dyDescent="0.25">
      <c r="A885" s="2">
        <v>46063</v>
      </c>
      <c r="B885" t="s">
        <v>74</v>
      </c>
      <c r="C885" t="s">
        <v>75</v>
      </c>
      <c r="D885" t="s">
        <v>76</v>
      </c>
      <c r="H885">
        <v>240000</v>
      </c>
      <c r="I885">
        <v>240000</v>
      </c>
      <c r="J885" t="s">
        <v>144</v>
      </c>
    </row>
    <row r="886" spans="1:10" hidden="1" x14ac:dyDescent="0.25">
      <c r="A886" s="2">
        <v>46071</v>
      </c>
      <c r="B886" t="s">
        <v>74</v>
      </c>
      <c r="C886" t="s">
        <v>75</v>
      </c>
      <c r="D886" t="s">
        <v>76</v>
      </c>
      <c r="H886">
        <v>240000</v>
      </c>
      <c r="I886">
        <v>240000</v>
      </c>
      <c r="J886" t="s">
        <v>144</v>
      </c>
    </row>
    <row r="887" spans="1:10" hidden="1" x14ac:dyDescent="0.25">
      <c r="A887" s="2">
        <v>46080</v>
      </c>
      <c r="B887" t="s">
        <v>74</v>
      </c>
      <c r="C887" t="s">
        <v>75</v>
      </c>
      <c r="D887" t="s">
        <v>76</v>
      </c>
      <c r="H887">
        <v>240000</v>
      </c>
      <c r="I887">
        <v>240000</v>
      </c>
      <c r="J887" t="s">
        <v>144</v>
      </c>
    </row>
    <row r="888" spans="1:10" hidden="1" x14ac:dyDescent="0.25">
      <c r="A888" s="2">
        <v>46089</v>
      </c>
      <c r="B888" t="s">
        <v>74</v>
      </c>
      <c r="C888" t="s">
        <v>75</v>
      </c>
      <c r="D888" t="s">
        <v>76</v>
      </c>
      <c r="H888">
        <v>240000</v>
      </c>
      <c r="I888">
        <v>240000</v>
      </c>
      <c r="J888" t="s">
        <v>144</v>
      </c>
    </row>
    <row r="889" spans="1:10" hidden="1" x14ac:dyDescent="0.25">
      <c r="A889" s="2">
        <v>46097</v>
      </c>
      <c r="B889" t="s">
        <v>74</v>
      </c>
      <c r="C889" t="s">
        <v>75</v>
      </c>
      <c r="D889" t="s">
        <v>76</v>
      </c>
      <c r="H889">
        <v>240000</v>
      </c>
      <c r="I889">
        <v>240000</v>
      </c>
      <c r="J889" t="s">
        <v>144</v>
      </c>
    </row>
    <row r="890" spans="1:10" hidden="1" x14ac:dyDescent="0.25">
      <c r="A890" s="2">
        <v>46110</v>
      </c>
      <c r="B890" t="s">
        <v>74</v>
      </c>
      <c r="C890" t="s">
        <v>75</v>
      </c>
      <c r="D890" t="s">
        <v>76</v>
      </c>
      <c r="H890">
        <v>240000</v>
      </c>
      <c r="I890">
        <v>240000</v>
      </c>
      <c r="J890" t="s">
        <v>144</v>
      </c>
    </row>
    <row r="891" spans="1:10" hidden="1" x14ac:dyDescent="0.25">
      <c r="A891" s="2">
        <v>46114</v>
      </c>
      <c r="B891" t="s">
        <v>74</v>
      </c>
      <c r="C891" t="s">
        <v>75</v>
      </c>
      <c r="D891" t="s">
        <v>76</v>
      </c>
      <c r="H891">
        <v>240000</v>
      </c>
      <c r="I891">
        <v>240000</v>
      </c>
      <c r="J891" t="s">
        <v>144</v>
      </c>
    </row>
    <row r="892" spans="1:10" hidden="1" x14ac:dyDescent="0.25">
      <c r="A892" s="2">
        <v>46126</v>
      </c>
      <c r="B892" t="s">
        <v>74</v>
      </c>
      <c r="C892" t="s">
        <v>75</v>
      </c>
      <c r="D892" t="s">
        <v>76</v>
      </c>
      <c r="H892">
        <v>240000</v>
      </c>
      <c r="I892">
        <v>240000</v>
      </c>
      <c r="J892" t="s">
        <v>144</v>
      </c>
    </row>
    <row r="893" spans="1:10" hidden="1" x14ac:dyDescent="0.25">
      <c r="A893" s="2">
        <v>46131</v>
      </c>
      <c r="B893" t="s">
        <v>74</v>
      </c>
      <c r="C893" t="s">
        <v>75</v>
      </c>
      <c r="D893" t="s">
        <v>76</v>
      </c>
      <c r="H893">
        <v>240000</v>
      </c>
      <c r="I893">
        <v>240000</v>
      </c>
      <c r="J893" t="s">
        <v>144</v>
      </c>
    </row>
    <row r="894" spans="1:10" hidden="1" x14ac:dyDescent="0.25">
      <c r="A894" s="2">
        <v>46141</v>
      </c>
      <c r="B894" t="s">
        <v>74</v>
      </c>
      <c r="C894" t="s">
        <v>75</v>
      </c>
      <c r="D894" t="s">
        <v>76</v>
      </c>
      <c r="H894">
        <v>240000</v>
      </c>
      <c r="I894">
        <v>240000</v>
      </c>
      <c r="J894" t="s">
        <v>144</v>
      </c>
    </row>
    <row r="895" spans="1:10" hidden="1" x14ac:dyDescent="0.25">
      <c r="A895" s="2">
        <v>46148</v>
      </c>
      <c r="B895" t="s">
        <v>74</v>
      </c>
      <c r="C895" t="s">
        <v>75</v>
      </c>
      <c r="D895" t="s">
        <v>76</v>
      </c>
      <c r="H895">
        <v>240000</v>
      </c>
      <c r="I895">
        <v>240000</v>
      </c>
      <c r="J895" t="s">
        <v>144</v>
      </c>
    </row>
    <row r="896" spans="1:10" hidden="1" x14ac:dyDescent="0.25">
      <c r="A896" s="2">
        <v>46154</v>
      </c>
      <c r="B896" t="s">
        <v>74</v>
      </c>
      <c r="C896" t="s">
        <v>75</v>
      </c>
      <c r="D896" t="s">
        <v>76</v>
      </c>
      <c r="H896">
        <v>240000</v>
      </c>
      <c r="I896">
        <v>240000</v>
      </c>
      <c r="J896" t="s">
        <v>144</v>
      </c>
    </row>
    <row r="897" spans="1:10" hidden="1" x14ac:dyDescent="0.25">
      <c r="A897" s="2">
        <v>46164</v>
      </c>
      <c r="B897" t="s">
        <v>74</v>
      </c>
      <c r="C897" t="s">
        <v>75</v>
      </c>
      <c r="D897" t="s">
        <v>76</v>
      </c>
      <c r="H897">
        <v>240000</v>
      </c>
      <c r="I897">
        <v>240000</v>
      </c>
      <c r="J897" t="s">
        <v>144</v>
      </c>
    </row>
    <row r="898" spans="1:10" hidden="1" x14ac:dyDescent="0.25">
      <c r="A898" s="2">
        <v>46171</v>
      </c>
      <c r="B898" t="s">
        <v>74</v>
      </c>
      <c r="C898" t="s">
        <v>75</v>
      </c>
      <c r="D898" t="s">
        <v>76</v>
      </c>
      <c r="H898">
        <v>240000</v>
      </c>
      <c r="I898">
        <v>240000</v>
      </c>
      <c r="J898" t="s">
        <v>144</v>
      </c>
    </row>
    <row r="899" spans="1:10" hidden="1" x14ac:dyDescent="0.25">
      <c r="A899" s="2">
        <v>46181</v>
      </c>
      <c r="B899" t="s">
        <v>74</v>
      </c>
      <c r="C899" t="s">
        <v>75</v>
      </c>
      <c r="D899" t="s">
        <v>76</v>
      </c>
      <c r="H899">
        <v>240000</v>
      </c>
      <c r="I899">
        <v>240000</v>
      </c>
      <c r="J899" t="s">
        <v>144</v>
      </c>
    </row>
    <row r="900" spans="1:10" hidden="1" x14ac:dyDescent="0.25">
      <c r="A900" s="2">
        <v>46188</v>
      </c>
      <c r="B900" t="s">
        <v>74</v>
      </c>
      <c r="C900" t="s">
        <v>75</v>
      </c>
      <c r="D900" t="s">
        <v>76</v>
      </c>
      <c r="H900">
        <v>240000</v>
      </c>
      <c r="I900">
        <v>240000</v>
      </c>
      <c r="J900" t="s">
        <v>144</v>
      </c>
    </row>
    <row r="901" spans="1:10" hidden="1" x14ac:dyDescent="0.25">
      <c r="A901" s="2">
        <v>46195</v>
      </c>
      <c r="B901" t="s">
        <v>74</v>
      </c>
      <c r="C901" t="s">
        <v>75</v>
      </c>
      <c r="D901" t="s">
        <v>76</v>
      </c>
      <c r="H901">
        <v>240000</v>
      </c>
      <c r="I901">
        <v>240000</v>
      </c>
      <c r="J901" t="s">
        <v>144</v>
      </c>
    </row>
    <row r="902" spans="1:10" hidden="1" x14ac:dyDescent="0.25">
      <c r="A902" s="2">
        <v>46202</v>
      </c>
      <c r="B902" t="s">
        <v>74</v>
      </c>
      <c r="C902" t="s">
        <v>75</v>
      </c>
      <c r="D902" t="s">
        <v>76</v>
      </c>
      <c r="H902">
        <v>240000</v>
      </c>
      <c r="I902">
        <v>240000</v>
      </c>
      <c r="J902" t="s">
        <v>144</v>
      </c>
    </row>
    <row r="903" spans="1:10" hidden="1" x14ac:dyDescent="0.25">
      <c r="A903" s="2">
        <v>46212</v>
      </c>
      <c r="B903" t="s">
        <v>74</v>
      </c>
      <c r="C903" t="s">
        <v>75</v>
      </c>
      <c r="D903" t="s">
        <v>76</v>
      </c>
      <c r="H903">
        <v>240000</v>
      </c>
      <c r="I903">
        <v>240000</v>
      </c>
      <c r="J903" t="s">
        <v>144</v>
      </c>
    </row>
    <row r="904" spans="1:10" hidden="1" x14ac:dyDescent="0.25">
      <c r="A904" s="2">
        <v>46219</v>
      </c>
      <c r="B904" t="s">
        <v>74</v>
      </c>
      <c r="C904" t="s">
        <v>75</v>
      </c>
      <c r="D904" t="s">
        <v>76</v>
      </c>
      <c r="H904">
        <v>240000</v>
      </c>
      <c r="I904">
        <v>240000</v>
      </c>
      <c r="J904" t="s">
        <v>144</v>
      </c>
    </row>
    <row r="905" spans="1:10" hidden="1" x14ac:dyDescent="0.25">
      <c r="A905" s="2">
        <v>45750</v>
      </c>
      <c r="B905" t="s">
        <v>78</v>
      </c>
      <c r="C905" t="s">
        <v>79</v>
      </c>
      <c r="D905" t="s">
        <v>80</v>
      </c>
      <c r="H905">
        <v>240000</v>
      </c>
      <c r="I905">
        <v>240000</v>
      </c>
      <c r="J905" t="s">
        <v>144</v>
      </c>
    </row>
    <row r="906" spans="1:10" hidden="1" x14ac:dyDescent="0.25">
      <c r="A906" s="2">
        <v>45757</v>
      </c>
      <c r="B906" t="s">
        <v>78</v>
      </c>
      <c r="C906" t="s">
        <v>79</v>
      </c>
      <c r="D906" t="s">
        <v>80</v>
      </c>
      <c r="H906">
        <v>240000</v>
      </c>
      <c r="I906">
        <v>240000</v>
      </c>
      <c r="J906" t="s">
        <v>144</v>
      </c>
    </row>
    <row r="907" spans="1:10" hidden="1" x14ac:dyDescent="0.25">
      <c r="A907" s="2">
        <v>45764</v>
      </c>
      <c r="B907" t="s">
        <v>78</v>
      </c>
      <c r="C907" t="s">
        <v>79</v>
      </c>
      <c r="D907" t="s">
        <v>80</v>
      </c>
      <c r="H907">
        <v>240000</v>
      </c>
      <c r="I907">
        <v>240000</v>
      </c>
      <c r="J907" t="s">
        <v>144</v>
      </c>
    </row>
    <row r="908" spans="1:10" hidden="1" x14ac:dyDescent="0.25">
      <c r="A908" s="2">
        <v>45771</v>
      </c>
      <c r="B908" t="s">
        <v>78</v>
      </c>
      <c r="C908" t="s">
        <v>79</v>
      </c>
      <c r="D908" t="s">
        <v>80</v>
      </c>
      <c r="H908">
        <v>240000</v>
      </c>
      <c r="I908">
        <v>240000</v>
      </c>
      <c r="J908" t="s">
        <v>144</v>
      </c>
    </row>
    <row r="909" spans="1:10" hidden="1" x14ac:dyDescent="0.25">
      <c r="A909" s="2">
        <v>45778</v>
      </c>
      <c r="B909" t="s">
        <v>78</v>
      </c>
      <c r="C909" t="s">
        <v>79</v>
      </c>
      <c r="D909" t="s">
        <v>80</v>
      </c>
      <c r="H909">
        <v>240000</v>
      </c>
      <c r="I909">
        <v>240000</v>
      </c>
      <c r="J909" t="s">
        <v>144</v>
      </c>
    </row>
    <row r="910" spans="1:10" hidden="1" x14ac:dyDescent="0.25">
      <c r="A910" s="2">
        <v>45785</v>
      </c>
      <c r="B910" t="s">
        <v>78</v>
      </c>
      <c r="C910" t="s">
        <v>79</v>
      </c>
      <c r="D910" t="s">
        <v>80</v>
      </c>
      <c r="H910">
        <v>240000</v>
      </c>
      <c r="I910">
        <v>240000</v>
      </c>
      <c r="J910" t="s">
        <v>144</v>
      </c>
    </row>
    <row r="911" spans="1:10" hidden="1" x14ac:dyDescent="0.25">
      <c r="A911" s="2">
        <v>45792</v>
      </c>
      <c r="B911" t="s">
        <v>78</v>
      </c>
      <c r="C911" t="s">
        <v>79</v>
      </c>
      <c r="D911" t="s">
        <v>80</v>
      </c>
      <c r="H911">
        <v>240000</v>
      </c>
      <c r="I911">
        <v>240000</v>
      </c>
      <c r="J911" t="s">
        <v>144</v>
      </c>
    </row>
    <row r="912" spans="1:10" hidden="1" x14ac:dyDescent="0.25">
      <c r="A912" s="2">
        <v>45799</v>
      </c>
      <c r="B912" t="s">
        <v>78</v>
      </c>
      <c r="C912" t="s">
        <v>79</v>
      </c>
      <c r="D912" t="s">
        <v>80</v>
      </c>
      <c r="H912">
        <v>240000</v>
      </c>
      <c r="I912">
        <v>240000</v>
      </c>
      <c r="J912" t="s">
        <v>144</v>
      </c>
    </row>
    <row r="913" spans="1:10" hidden="1" x14ac:dyDescent="0.25">
      <c r="A913" s="2">
        <v>45806</v>
      </c>
      <c r="B913" t="s">
        <v>78</v>
      </c>
      <c r="C913" t="s">
        <v>79</v>
      </c>
      <c r="D913" t="s">
        <v>80</v>
      </c>
      <c r="H913">
        <v>240000</v>
      </c>
      <c r="I913">
        <v>240000</v>
      </c>
      <c r="J913" t="s">
        <v>144</v>
      </c>
    </row>
    <row r="914" spans="1:10" hidden="1" x14ac:dyDescent="0.25">
      <c r="A914" s="2">
        <v>45813</v>
      </c>
      <c r="B914" t="s">
        <v>78</v>
      </c>
      <c r="C914" t="s">
        <v>79</v>
      </c>
      <c r="D914" t="s">
        <v>80</v>
      </c>
      <c r="H914">
        <v>240000</v>
      </c>
      <c r="I914">
        <v>240000</v>
      </c>
      <c r="J914" t="s">
        <v>144</v>
      </c>
    </row>
    <row r="915" spans="1:10" hidden="1" x14ac:dyDescent="0.25">
      <c r="A915" s="2">
        <v>45820</v>
      </c>
      <c r="B915" t="s">
        <v>78</v>
      </c>
      <c r="C915" t="s">
        <v>79</v>
      </c>
      <c r="D915" t="s">
        <v>80</v>
      </c>
      <c r="H915">
        <v>240000</v>
      </c>
      <c r="I915">
        <v>240000</v>
      </c>
      <c r="J915" t="s">
        <v>144</v>
      </c>
    </row>
    <row r="916" spans="1:10" hidden="1" x14ac:dyDescent="0.25">
      <c r="A916" s="2">
        <v>45827</v>
      </c>
      <c r="B916" t="s">
        <v>78</v>
      </c>
      <c r="C916" t="s">
        <v>79</v>
      </c>
      <c r="D916" t="s">
        <v>80</v>
      </c>
      <c r="H916">
        <v>240000</v>
      </c>
      <c r="I916">
        <v>240000</v>
      </c>
      <c r="J916" t="s">
        <v>144</v>
      </c>
    </row>
    <row r="917" spans="1:10" hidden="1" x14ac:dyDescent="0.25">
      <c r="A917" s="2">
        <v>45834</v>
      </c>
      <c r="B917" t="s">
        <v>78</v>
      </c>
      <c r="C917" t="s">
        <v>79</v>
      </c>
      <c r="D917" t="s">
        <v>80</v>
      </c>
      <c r="H917">
        <v>240000</v>
      </c>
      <c r="I917">
        <v>240000</v>
      </c>
      <c r="J917" t="s">
        <v>144</v>
      </c>
    </row>
    <row r="918" spans="1:10" hidden="1" x14ac:dyDescent="0.25">
      <c r="A918" s="2">
        <v>45841</v>
      </c>
      <c r="B918" t="s">
        <v>78</v>
      </c>
      <c r="C918" t="s">
        <v>79</v>
      </c>
      <c r="D918" t="s">
        <v>80</v>
      </c>
      <c r="H918">
        <v>240000</v>
      </c>
      <c r="I918">
        <v>240000</v>
      </c>
      <c r="J918" t="s">
        <v>144</v>
      </c>
    </row>
    <row r="919" spans="1:10" hidden="1" x14ac:dyDescent="0.25">
      <c r="A919" s="2">
        <v>45848</v>
      </c>
      <c r="B919" t="s">
        <v>78</v>
      </c>
      <c r="C919" t="s">
        <v>79</v>
      </c>
      <c r="D919" t="s">
        <v>80</v>
      </c>
      <c r="H919">
        <v>240000</v>
      </c>
      <c r="I919">
        <v>240000</v>
      </c>
      <c r="J919" t="s">
        <v>144</v>
      </c>
    </row>
    <row r="920" spans="1:10" hidden="1" x14ac:dyDescent="0.25">
      <c r="A920" s="2">
        <v>45855</v>
      </c>
      <c r="B920" t="s">
        <v>78</v>
      </c>
      <c r="C920" t="s">
        <v>79</v>
      </c>
      <c r="D920" t="s">
        <v>80</v>
      </c>
      <c r="H920">
        <v>240000</v>
      </c>
      <c r="I920">
        <v>240000</v>
      </c>
      <c r="J920" t="s">
        <v>144</v>
      </c>
    </row>
    <row r="921" spans="1:10" hidden="1" x14ac:dyDescent="0.25">
      <c r="A921" s="2">
        <v>45862</v>
      </c>
      <c r="B921" t="s">
        <v>78</v>
      </c>
      <c r="C921" t="s">
        <v>79</v>
      </c>
      <c r="D921" t="s">
        <v>80</v>
      </c>
      <c r="H921">
        <v>240000</v>
      </c>
      <c r="I921">
        <v>240000</v>
      </c>
      <c r="J921" t="s">
        <v>144</v>
      </c>
    </row>
    <row r="922" spans="1:10" hidden="1" x14ac:dyDescent="0.25">
      <c r="A922" s="2">
        <v>45869</v>
      </c>
      <c r="B922" t="s">
        <v>78</v>
      </c>
      <c r="C922" t="s">
        <v>79</v>
      </c>
      <c r="D922" t="s">
        <v>80</v>
      </c>
      <c r="H922">
        <v>240000</v>
      </c>
      <c r="I922">
        <v>240000</v>
      </c>
      <c r="J922" t="s">
        <v>144</v>
      </c>
    </row>
    <row r="923" spans="1:10" hidden="1" x14ac:dyDescent="0.25">
      <c r="A923" s="2">
        <v>45876</v>
      </c>
      <c r="B923" t="s">
        <v>78</v>
      </c>
      <c r="C923" t="s">
        <v>79</v>
      </c>
      <c r="D923" t="s">
        <v>80</v>
      </c>
      <c r="H923">
        <v>240000</v>
      </c>
      <c r="I923">
        <v>240000</v>
      </c>
      <c r="J923" t="s">
        <v>144</v>
      </c>
    </row>
    <row r="924" spans="1:10" hidden="1" x14ac:dyDescent="0.25">
      <c r="A924" s="2">
        <v>45883</v>
      </c>
      <c r="B924" t="s">
        <v>78</v>
      </c>
      <c r="C924" t="s">
        <v>79</v>
      </c>
      <c r="D924" t="s">
        <v>80</v>
      </c>
      <c r="H924">
        <v>240000</v>
      </c>
      <c r="I924">
        <v>240000</v>
      </c>
      <c r="J924" t="s">
        <v>144</v>
      </c>
    </row>
    <row r="925" spans="1:10" hidden="1" x14ac:dyDescent="0.25">
      <c r="A925" s="2">
        <v>45890</v>
      </c>
      <c r="B925" t="s">
        <v>78</v>
      </c>
      <c r="C925" t="s">
        <v>79</v>
      </c>
      <c r="D925" t="s">
        <v>80</v>
      </c>
      <c r="H925">
        <v>240000</v>
      </c>
      <c r="I925">
        <v>240000</v>
      </c>
      <c r="J925" t="s">
        <v>144</v>
      </c>
    </row>
    <row r="926" spans="1:10" hidden="1" x14ac:dyDescent="0.25">
      <c r="A926" s="2">
        <v>45897</v>
      </c>
      <c r="B926" t="s">
        <v>78</v>
      </c>
      <c r="C926" t="s">
        <v>79</v>
      </c>
      <c r="D926" t="s">
        <v>80</v>
      </c>
      <c r="H926">
        <v>240000</v>
      </c>
      <c r="I926">
        <v>240000</v>
      </c>
      <c r="J926" t="s">
        <v>144</v>
      </c>
    </row>
    <row r="927" spans="1:10" hidden="1" x14ac:dyDescent="0.25">
      <c r="A927" s="2">
        <v>45904</v>
      </c>
      <c r="B927" t="s">
        <v>78</v>
      </c>
      <c r="C927" t="s">
        <v>79</v>
      </c>
      <c r="D927" t="s">
        <v>80</v>
      </c>
      <c r="H927">
        <v>240000</v>
      </c>
      <c r="I927">
        <v>240000</v>
      </c>
      <c r="J927" t="s">
        <v>144</v>
      </c>
    </row>
    <row r="928" spans="1:10" hidden="1" x14ac:dyDescent="0.25">
      <c r="A928" s="2">
        <v>45911</v>
      </c>
      <c r="B928" t="s">
        <v>78</v>
      </c>
      <c r="C928" t="s">
        <v>79</v>
      </c>
      <c r="D928" t="s">
        <v>80</v>
      </c>
      <c r="H928">
        <v>240000</v>
      </c>
      <c r="I928">
        <v>240000</v>
      </c>
      <c r="J928" t="s">
        <v>144</v>
      </c>
    </row>
    <row r="929" spans="1:10" hidden="1" x14ac:dyDescent="0.25">
      <c r="A929" s="2">
        <v>45918</v>
      </c>
      <c r="B929" t="s">
        <v>78</v>
      </c>
      <c r="C929" t="s">
        <v>79</v>
      </c>
      <c r="D929" t="s">
        <v>80</v>
      </c>
      <c r="H929">
        <v>240000</v>
      </c>
      <c r="I929">
        <v>240000</v>
      </c>
      <c r="J929" t="s">
        <v>144</v>
      </c>
    </row>
    <row r="930" spans="1:10" hidden="1" x14ac:dyDescent="0.25">
      <c r="A930" s="2">
        <v>45925</v>
      </c>
      <c r="B930" t="s">
        <v>78</v>
      </c>
      <c r="C930" t="s">
        <v>79</v>
      </c>
      <c r="D930" t="s">
        <v>80</v>
      </c>
      <c r="H930">
        <v>240000</v>
      </c>
      <c r="I930">
        <v>240000</v>
      </c>
      <c r="J930" t="s">
        <v>144</v>
      </c>
    </row>
    <row r="931" spans="1:10" hidden="1" x14ac:dyDescent="0.25">
      <c r="A931" s="2">
        <v>45932</v>
      </c>
      <c r="B931" t="s">
        <v>78</v>
      </c>
      <c r="C931" t="s">
        <v>79</v>
      </c>
      <c r="D931" t="s">
        <v>80</v>
      </c>
      <c r="H931">
        <v>240000</v>
      </c>
      <c r="I931">
        <v>240000</v>
      </c>
      <c r="J931" t="s">
        <v>144</v>
      </c>
    </row>
    <row r="932" spans="1:10" hidden="1" x14ac:dyDescent="0.25">
      <c r="A932" s="2">
        <v>45939</v>
      </c>
      <c r="B932" t="s">
        <v>78</v>
      </c>
      <c r="C932" t="s">
        <v>79</v>
      </c>
      <c r="D932" t="s">
        <v>80</v>
      </c>
      <c r="H932">
        <v>240000</v>
      </c>
      <c r="I932">
        <v>240000</v>
      </c>
      <c r="J932" t="s">
        <v>144</v>
      </c>
    </row>
    <row r="933" spans="1:10" hidden="1" x14ac:dyDescent="0.25">
      <c r="A933" s="2">
        <v>45946</v>
      </c>
      <c r="B933" t="s">
        <v>78</v>
      </c>
      <c r="C933" t="s">
        <v>79</v>
      </c>
      <c r="D933" t="s">
        <v>80</v>
      </c>
      <c r="H933">
        <v>240000</v>
      </c>
      <c r="I933">
        <v>240000</v>
      </c>
      <c r="J933" t="s">
        <v>144</v>
      </c>
    </row>
    <row r="934" spans="1:10" hidden="1" x14ac:dyDescent="0.25">
      <c r="A934" s="2">
        <v>45953</v>
      </c>
      <c r="B934" t="s">
        <v>78</v>
      </c>
      <c r="C934" t="s">
        <v>79</v>
      </c>
      <c r="D934" t="s">
        <v>80</v>
      </c>
      <c r="H934">
        <v>240000</v>
      </c>
      <c r="I934">
        <v>240000</v>
      </c>
      <c r="J934" t="s">
        <v>144</v>
      </c>
    </row>
    <row r="935" spans="1:10" hidden="1" x14ac:dyDescent="0.25">
      <c r="A935" s="2">
        <v>45960</v>
      </c>
      <c r="B935" t="s">
        <v>78</v>
      </c>
      <c r="C935" t="s">
        <v>79</v>
      </c>
      <c r="D935" t="s">
        <v>80</v>
      </c>
      <c r="H935">
        <v>240000</v>
      </c>
      <c r="I935">
        <v>240000</v>
      </c>
      <c r="J935" t="s">
        <v>144</v>
      </c>
    </row>
    <row r="936" spans="1:10" hidden="1" x14ac:dyDescent="0.25">
      <c r="A936" s="2">
        <v>45967</v>
      </c>
      <c r="B936" t="s">
        <v>78</v>
      </c>
      <c r="C936" t="s">
        <v>79</v>
      </c>
      <c r="D936" t="s">
        <v>80</v>
      </c>
      <c r="H936">
        <v>240000</v>
      </c>
      <c r="I936">
        <v>240000</v>
      </c>
      <c r="J936" t="s">
        <v>144</v>
      </c>
    </row>
    <row r="937" spans="1:10" hidden="1" x14ac:dyDescent="0.25">
      <c r="A937" s="2">
        <v>45974</v>
      </c>
      <c r="B937" t="s">
        <v>78</v>
      </c>
      <c r="C937" t="s">
        <v>79</v>
      </c>
      <c r="D937" t="s">
        <v>80</v>
      </c>
      <c r="H937">
        <v>240000</v>
      </c>
      <c r="I937">
        <v>240000</v>
      </c>
      <c r="J937" t="s">
        <v>144</v>
      </c>
    </row>
    <row r="938" spans="1:10" hidden="1" x14ac:dyDescent="0.25">
      <c r="A938" s="2">
        <v>45981</v>
      </c>
      <c r="B938" t="s">
        <v>78</v>
      </c>
      <c r="C938" t="s">
        <v>79</v>
      </c>
      <c r="D938" t="s">
        <v>80</v>
      </c>
      <c r="H938">
        <v>240000</v>
      </c>
      <c r="I938">
        <v>240000</v>
      </c>
      <c r="J938" t="s">
        <v>144</v>
      </c>
    </row>
    <row r="939" spans="1:10" hidden="1" x14ac:dyDescent="0.25">
      <c r="A939" s="2">
        <v>45988</v>
      </c>
      <c r="B939" t="s">
        <v>78</v>
      </c>
      <c r="C939" t="s">
        <v>79</v>
      </c>
      <c r="D939" t="s">
        <v>80</v>
      </c>
      <c r="H939">
        <v>240000</v>
      </c>
      <c r="I939">
        <v>240000</v>
      </c>
      <c r="J939" t="s">
        <v>144</v>
      </c>
    </row>
    <row r="940" spans="1:10" hidden="1" x14ac:dyDescent="0.25">
      <c r="A940" s="2">
        <v>45995</v>
      </c>
      <c r="B940" t="s">
        <v>78</v>
      </c>
      <c r="C940" t="s">
        <v>79</v>
      </c>
      <c r="D940" t="s">
        <v>80</v>
      </c>
      <c r="H940">
        <v>240000</v>
      </c>
      <c r="I940">
        <v>240000</v>
      </c>
      <c r="J940" t="s">
        <v>144</v>
      </c>
    </row>
    <row r="941" spans="1:10" hidden="1" x14ac:dyDescent="0.25">
      <c r="A941" s="2">
        <v>46002</v>
      </c>
      <c r="B941" t="s">
        <v>78</v>
      </c>
      <c r="C941" t="s">
        <v>79</v>
      </c>
      <c r="D941" t="s">
        <v>80</v>
      </c>
      <c r="H941">
        <v>240000</v>
      </c>
      <c r="I941">
        <v>240000</v>
      </c>
      <c r="J941" t="s">
        <v>144</v>
      </c>
    </row>
    <row r="942" spans="1:10" hidden="1" x14ac:dyDescent="0.25">
      <c r="A942" s="2">
        <v>46009</v>
      </c>
      <c r="B942" t="s">
        <v>78</v>
      </c>
      <c r="C942" t="s">
        <v>79</v>
      </c>
      <c r="D942" t="s">
        <v>80</v>
      </c>
      <c r="H942">
        <v>240000</v>
      </c>
      <c r="I942">
        <v>240000</v>
      </c>
      <c r="J942" t="s">
        <v>144</v>
      </c>
    </row>
    <row r="943" spans="1:10" hidden="1" x14ac:dyDescent="0.25">
      <c r="A943" s="2">
        <v>46016</v>
      </c>
      <c r="B943" t="s">
        <v>78</v>
      </c>
      <c r="C943" t="s">
        <v>79</v>
      </c>
      <c r="D943" t="s">
        <v>80</v>
      </c>
      <c r="H943">
        <v>240000</v>
      </c>
      <c r="I943">
        <v>240000</v>
      </c>
      <c r="J943" t="s">
        <v>144</v>
      </c>
    </row>
    <row r="944" spans="1:10" hidden="1" x14ac:dyDescent="0.25">
      <c r="A944" s="2">
        <v>46023</v>
      </c>
      <c r="B944" t="s">
        <v>78</v>
      </c>
      <c r="C944" t="s">
        <v>79</v>
      </c>
      <c r="D944" t="s">
        <v>80</v>
      </c>
      <c r="H944">
        <v>240000</v>
      </c>
      <c r="I944">
        <v>240000</v>
      </c>
      <c r="J944" t="s">
        <v>144</v>
      </c>
    </row>
    <row r="945" spans="1:10" hidden="1" x14ac:dyDescent="0.25">
      <c r="A945" s="2">
        <v>46030</v>
      </c>
      <c r="B945" t="s">
        <v>78</v>
      </c>
      <c r="C945" t="s">
        <v>79</v>
      </c>
      <c r="D945" t="s">
        <v>80</v>
      </c>
      <c r="H945">
        <v>240000</v>
      </c>
      <c r="I945">
        <v>240000</v>
      </c>
      <c r="J945" t="s">
        <v>144</v>
      </c>
    </row>
    <row r="946" spans="1:10" hidden="1" x14ac:dyDescent="0.25">
      <c r="A946" s="2">
        <v>46037</v>
      </c>
      <c r="B946" t="s">
        <v>78</v>
      </c>
      <c r="C946" t="s">
        <v>79</v>
      </c>
      <c r="D946" t="s">
        <v>80</v>
      </c>
      <c r="H946">
        <v>240000</v>
      </c>
      <c r="I946">
        <v>240000</v>
      </c>
      <c r="J946" t="s">
        <v>144</v>
      </c>
    </row>
    <row r="947" spans="1:10" hidden="1" x14ac:dyDescent="0.25">
      <c r="A947" s="2">
        <v>46044</v>
      </c>
      <c r="B947" t="s">
        <v>78</v>
      </c>
      <c r="C947" t="s">
        <v>79</v>
      </c>
      <c r="D947" t="s">
        <v>80</v>
      </c>
      <c r="H947">
        <v>240000</v>
      </c>
      <c r="I947">
        <v>240000</v>
      </c>
      <c r="J947" t="s">
        <v>144</v>
      </c>
    </row>
    <row r="948" spans="1:10" hidden="1" x14ac:dyDescent="0.25">
      <c r="A948" s="2">
        <v>46051</v>
      </c>
      <c r="B948" t="s">
        <v>78</v>
      </c>
      <c r="C948" t="s">
        <v>79</v>
      </c>
      <c r="D948" t="s">
        <v>80</v>
      </c>
      <c r="H948">
        <v>240000</v>
      </c>
      <c r="I948">
        <v>240000</v>
      </c>
      <c r="J948" t="s">
        <v>144</v>
      </c>
    </row>
    <row r="949" spans="1:10" hidden="1" x14ac:dyDescent="0.25">
      <c r="A949" s="2">
        <v>46058</v>
      </c>
      <c r="B949" t="s">
        <v>78</v>
      </c>
      <c r="C949" t="s">
        <v>79</v>
      </c>
      <c r="D949" t="s">
        <v>80</v>
      </c>
      <c r="H949">
        <v>240000</v>
      </c>
      <c r="I949">
        <v>240000</v>
      </c>
      <c r="J949" t="s">
        <v>144</v>
      </c>
    </row>
    <row r="950" spans="1:10" hidden="1" x14ac:dyDescent="0.25">
      <c r="A950" s="2">
        <v>46065</v>
      </c>
      <c r="B950" t="s">
        <v>78</v>
      </c>
      <c r="C950" t="s">
        <v>79</v>
      </c>
      <c r="D950" t="s">
        <v>80</v>
      </c>
      <c r="H950">
        <v>240000</v>
      </c>
      <c r="I950">
        <v>240000</v>
      </c>
      <c r="J950" t="s">
        <v>144</v>
      </c>
    </row>
    <row r="951" spans="1:10" hidden="1" x14ac:dyDescent="0.25">
      <c r="A951" s="2">
        <v>46072</v>
      </c>
      <c r="B951" t="s">
        <v>78</v>
      </c>
      <c r="C951" t="s">
        <v>79</v>
      </c>
      <c r="D951" t="s">
        <v>80</v>
      </c>
      <c r="H951">
        <v>240000</v>
      </c>
      <c r="I951">
        <v>240000</v>
      </c>
      <c r="J951" t="s">
        <v>144</v>
      </c>
    </row>
    <row r="952" spans="1:10" hidden="1" x14ac:dyDescent="0.25">
      <c r="A952" s="2">
        <v>46079</v>
      </c>
      <c r="B952" t="s">
        <v>78</v>
      </c>
      <c r="C952" t="s">
        <v>79</v>
      </c>
      <c r="D952" t="s">
        <v>80</v>
      </c>
      <c r="H952">
        <v>240000</v>
      </c>
      <c r="I952">
        <v>240000</v>
      </c>
      <c r="J952" t="s">
        <v>144</v>
      </c>
    </row>
    <row r="953" spans="1:10" hidden="1" x14ac:dyDescent="0.25">
      <c r="A953" s="2">
        <v>46086</v>
      </c>
      <c r="B953" t="s">
        <v>78</v>
      </c>
      <c r="C953" t="s">
        <v>79</v>
      </c>
      <c r="D953" t="s">
        <v>80</v>
      </c>
      <c r="H953">
        <v>240000</v>
      </c>
      <c r="I953">
        <v>240000</v>
      </c>
      <c r="J953" t="s">
        <v>144</v>
      </c>
    </row>
    <row r="954" spans="1:10" hidden="1" x14ac:dyDescent="0.25">
      <c r="A954" s="2">
        <v>46093</v>
      </c>
      <c r="B954" t="s">
        <v>78</v>
      </c>
      <c r="C954" t="s">
        <v>79</v>
      </c>
      <c r="D954" t="s">
        <v>80</v>
      </c>
      <c r="H954">
        <v>240000</v>
      </c>
      <c r="I954">
        <v>240000</v>
      </c>
      <c r="J954" t="s">
        <v>144</v>
      </c>
    </row>
    <row r="955" spans="1:10" hidden="1" x14ac:dyDescent="0.25">
      <c r="A955" s="2">
        <v>46100</v>
      </c>
      <c r="B955" t="s">
        <v>78</v>
      </c>
      <c r="C955" t="s">
        <v>79</v>
      </c>
      <c r="D955" t="s">
        <v>80</v>
      </c>
      <c r="H955">
        <v>240000</v>
      </c>
      <c r="I955">
        <v>240000</v>
      </c>
      <c r="J955" t="s">
        <v>144</v>
      </c>
    </row>
    <row r="956" spans="1:10" hidden="1" x14ac:dyDescent="0.25">
      <c r="A956" s="2">
        <v>46107</v>
      </c>
      <c r="B956" t="s">
        <v>78</v>
      </c>
      <c r="C956" t="s">
        <v>79</v>
      </c>
      <c r="D956" t="s">
        <v>80</v>
      </c>
      <c r="H956">
        <v>240000</v>
      </c>
      <c r="I956">
        <v>240000</v>
      </c>
      <c r="J956" t="s">
        <v>144</v>
      </c>
    </row>
    <row r="957" spans="1:10" hidden="1" x14ac:dyDescent="0.25">
      <c r="A957" s="2">
        <v>46113</v>
      </c>
      <c r="B957" t="s">
        <v>78</v>
      </c>
      <c r="C957" t="s">
        <v>79</v>
      </c>
      <c r="D957" t="s">
        <v>80</v>
      </c>
      <c r="H957">
        <v>240000</v>
      </c>
      <c r="I957">
        <v>240000</v>
      </c>
      <c r="J957" t="s">
        <v>144</v>
      </c>
    </row>
    <row r="958" spans="1:10" hidden="1" x14ac:dyDescent="0.25">
      <c r="A958" s="2">
        <v>46120</v>
      </c>
      <c r="B958" t="s">
        <v>78</v>
      </c>
      <c r="C958" t="s">
        <v>79</v>
      </c>
      <c r="D958" t="s">
        <v>80</v>
      </c>
      <c r="H958">
        <v>240000</v>
      </c>
      <c r="I958">
        <v>240000</v>
      </c>
      <c r="J958" t="s">
        <v>144</v>
      </c>
    </row>
    <row r="959" spans="1:10" hidden="1" x14ac:dyDescent="0.25">
      <c r="A959" s="2">
        <v>46127</v>
      </c>
      <c r="B959" t="s">
        <v>78</v>
      </c>
      <c r="C959" t="s">
        <v>79</v>
      </c>
      <c r="D959" t="s">
        <v>80</v>
      </c>
      <c r="H959">
        <v>240000</v>
      </c>
      <c r="I959">
        <v>240000</v>
      </c>
      <c r="J959" t="s">
        <v>144</v>
      </c>
    </row>
    <row r="960" spans="1:10" hidden="1" x14ac:dyDescent="0.25">
      <c r="A960" s="2">
        <v>46134</v>
      </c>
      <c r="B960" t="s">
        <v>78</v>
      </c>
      <c r="C960" t="s">
        <v>79</v>
      </c>
      <c r="D960" t="s">
        <v>80</v>
      </c>
      <c r="H960">
        <v>240000</v>
      </c>
      <c r="I960">
        <v>240000</v>
      </c>
      <c r="J960" t="s">
        <v>144</v>
      </c>
    </row>
    <row r="961" spans="1:10" hidden="1" x14ac:dyDescent="0.25">
      <c r="A961" s="2">
        <v>46141</v>
      </c>
      <c r="B961" t="s">
        <v>78</v>
      </c>
      <c r="C961" t="s">
        <v>79</v>
      </c>
      <c r="D961" t="s">
        <v>80</v>
      </c>
      <c r="H961">
        <v>240000</v>
      </c>
      <c r="I961">
        <v>240000</v>
      </c>
      <c r="J961" t="s">
        <v>144</v>
      </c>
    </row>
    <row r="962" spans="1:10" hidden="1" x14ac:dyDescent="0.25">
      <c r="A962" s="2">
        <v>46148</v>
      </c>
      <c r="B962" t="s">
        <v>78</v>
      </c>
      <c r="C962" t="s">
        <v>79</v>
      </c>
      <c r="D962" t="s">
        <v>80</v>
      </c>
      <c r="H962">
        <v>240000</v>
      </c>
      <c r="I962">
        <v>240000</v>
      </c>
      <c r="J962" t="s">
        <v>144</v>
      </c>
    </row>
    <row r="963" spans="1:10" hidden="1" x14ac:dyDescent="0.25">
      <c r="A963" s="2">
        <v>46156</v>
      </c>
      <c r="B963" t="s">
        <v>78</v>
      </c>
      <c r="C963" t="s">
        <v>79</v>
      </c>
      <c r="D963" t="s">
        <v>80</v>
      </c>
      <c r="H963">
        <v>240000</v>
      </c>
      <c r="I963">
        <v>240000</v>
      </c>
      <c r="J963" t="s">
        <v>144</v>
      </c>
    </row>
    <row r="964" spans="1:10" hidden="1" x14ac:dyDescent="0.25">
      <c r="A964" s="2">
        <v>46163</v>
      </c>
      <c r="B964" t="s">
        <v>78</v>
      </c>
      <c r="C964" t="s">
        <v>79</v>
      </c>
      <c r="D964" t="s">
        <v>80</v>
      </c>
      <c r="H964">
        <v>240000</v>
      </c>
      <c r="I964">
        <v>240000</v>
      </c>
      <c r="J964" t="s">
        <v>144</v>
      </c>
    </row>
    <row r="965" spans="1:10" hidden="1" x14ac:dyDescent="0.25">
      <c r="A965" s="2">
        <v>46170</v>
      </c>
      <c r="B965" t="s">
        <v>78</v>
      </c>
      <c r="C965" t="s">
        <v>79</v>
      </c>
      <c r="D965" t="s">
        <v>80</v>
      </c>
      <c r="H965">
        <v>240000</v>
      </c>
      <c r="I965">
        <v>240000</v>
      </c>
      <c r="J965" t="s">
        <v>144</v>
      </c>
    </row>
    <row r="966" spans="1:10" hidden="1" x14ac:dyDescent="0.25">
      <c r="A966" s="2">
        <v>46177</v>
      </c>
      <c r="B966" t="s">
        <v>78</v>
      </c>
      <c r="C966" t="s">
        <v>79</v>
      </c>
      <c r="D966" t="s">
        <v>80</v>
      </c>
      <c r="H966">
        <v>240000</v>
      </c>
      <c r="I966">
        <v>240000</v>
      </c>
      <c r="J966" t="s">
        <v>144</v>
      </c>
    </row>
    <row r="967" spans="1:10" hidden="1" x14ac:dyDescent="0.25">
      <c r="A967" s="2">
        <v>46184</v>
      </c>
      <c r="B967" t="s">
        <v>78</v>
      </c>
      <c r="C967" t="s">
        <v>79</v>
      </c>
      <c r="D967" t="s">
        <v>80</v>
      </c>
      <c r="H967">
        <v>240000</v>
      </c>
      <c r="I967">
        <v>240000</v>
      </c>
      <c r="J967" t="s">
        <v>144</v>
      </c>
    </row>
    <row r="968" spans="1:10" hidden="1" x14ac:dyDescent="0.25">
      <c r="A968" s="2">
        <v>46191</v>
      </c>
      <c r="B968" t="s">
        <v>78</v>
      </c>
      <c r="C968" t="s">
        <v>79</v>
      </c>
      <c r="D968" t="s">
        <v>80</v>
      </c>
      <c r="H968">
        <v>240000</v>
      </c>
      <c r="I968">
        <v>240000</v>
      </c>
      <c r="J968" t="s">
        <v>144</v>
      </c>
    </row>
    <row r="969" spans="1:10" hidden="1" x14ac:dyDescent="0.25">
      <c r="A969" s="2">
        <v>46198</v>
      </c>
      <c r="B969" t="s">
        <v>78</v>
      </c>
      <c r="C969" t="s">
        <v>79</v>
      </c>
      <c r="D969" t="s">
        <v>80</v>
      </c>
      <c r="H969">
        <v>240000</v>
      </c>
      <c r="I969">
        <v>240000</v>
      </c>
      <c r="J969" t="s">
        <v>144</v>
      </c>
    </row>
    <row r="970" spans="1:10" hidden="1" x14ac:dyDescent="0.25">
      <c r="A970" s="2">
        <v>46205</v>
      </c>
      <c r="B970" t="s">
        <v>78</v>
      </c>
      <c r="C970" t="s">
        <v>79</v>
      </c>
      <c r="D970" t="s">
        <v>80</v>
      </c>
      <c r="H970">
        <v>240000</v>
      </c>
      <c r="I970">
        <v>240000</v>
      </c>
      <c r="J970" t="s">
        <v>144</v>
      </c>
    </row>
    <row r="971" spans="1:10" hidden="1" x14ac:dyDescent="0.25">
      <c r="A971" s="2">
        <v>46212</v>
      </c>
      <c r="B971" t="s">
        <v>78</v>
      </c>
      <c r="C971" t="s">
        <v>79</v>
      </c>
      <c r="D971" t="s">
        <v>80</v>
      </c>
      <c r="H971">
        <v>240000</v>
      </c>
      <c r="I971">
        <v>240000</v>
      </c>
      <c r="J971" t="s">
        <v>144</v>
      </c>
    </row>
    <row r="972" spans="1:10" hidden="1" x14ac:dyDescent="0.25">
      <c r="A972" s="2">
        <v>46219</v>
      </c>
      <c r="B972" t="s">
        <v>78</v>
      </c>
      <c r="C972" t="s">
        <v>79</v>
      </c>
      <c r="D972" t="s">
        <v>80</v>
      </c>
      <c r="H972">
        <v>240000</v>
      </c>
      <c r="I972">
        <v>240000</v>
      </c>
      <c r="J972" t="s">
        <v>144</v>
      </c>
    </row>
    <row r="973" spans="1:10" hidden="1" x14ac:dyDescent="0.25">
      <c r="A973" s="2">
        <v>45872</v>
      </c>
      <c r="B973" t="s">
        <v>82</v>
      </c>
      <c r="C973" t="s">
        <v>83</v>
      </c>
      <c r="D973" t="s">
        <v>84</v>
      </c>
      <c r="H973">
        <v>384000</v>
      </c>
      <c r="I973">
        <v>384000</v>
      </c>
      <c r="J973" t="s">
        <v>144</v>
      </c>
    </row>
    <row r="974" spans="1:10" hidden="1" x14ac:dyDescent="0.25">
      <c r="A974" s="2">
        <v>45907</v>
      </c>
      <c r="B974" t="s">
        <v>82</v>
      </c>
      <c r="C974" t="s">
        <v>83</v>
      </c>
      <c r="D974" t="s">
        <v>84</v>
      </c>
      <c r="H974">
        <v>384000</v>
      </c>
      <c r="I974">
        <v>384000</v>
      </c>
      <c r="J974" t="s">
        <v>144</v>
      </c>
    </row>
    <row r="975" spans="1:10" hidden="1" x14ac:dyDescent="0.25">
      <c r="A975" s="2">
        <v>45935</v>
      </c>
      <c r="B975" t="s">
        <v>82</v>
      </c>
      <c r="C975" t="s">
        <v>83</v>
      </c>
      <c r="D975" t="s">
        <v>84</v>
      </c>
      <c r="H975">
        <v>384000</v>
      </c>
      <c r="I975">
        <v>384000</v>
      </c>
      <c r="J975" t="s">
        <v>144</v>
      </c>
    </row>
    <row r="976" spans="1:10" hidden="1" x14ac:dyDescent="0.25">
      <c r="A976" s="2">
        <v>45969</v>
      </c>
      <c r="B976" t="s">
        <v>82</v>
      </c>
      <c r="C976" t="s">
        <v>83</v>
      </c>
      <c r="D976" t="s">
        <v>84</v>
      </c>
      <c r="H976">
        <v>384000</v>
      </c>
      <c r="I976">
        <v>384000</v>
      </c>
      <c r="J976" t="s">
        <v>144</v>
      </c>
    </row>
    <row r="977" spans="1:10" hidden="1" x14ac:dyDescent="0.25">
      <c r="A977" s="2">
        <v>45995</v>
      </c>
      <c r="B977" t="s">
        <v>82</v>
      </c>
      <c r="C977" t="s">
        <v>83</v>
      </c>
      <c r="D977" t="s">
        <v>84</v>
      </c>
      <c r="H977">
        <v>384000</v>
      </c>
      <c r="I977">
        <v>384000</v>
      </c>
      <c r="J977" t="s">
        <v>144</v>
      </c>
    </row>
    <row r="978" spans="1:10" hidden="1" x14ac:dyDescent="0.25">
      <c r="A978" s="2">
        <v>46031</v>
      </c>
      <c r="B978" t="s">
        <v>82</v>
      </c>
      <c r="C978" t="s">
        <v>83</v>
      </c>
      <c r="D978" t="s">
        <v>84</v>
      </c>
      <c r="H978">
        <v>384000</v>
      </c>
      <c r="I978">
        <v>384000</v>
      </c>
      <c r="J978" t="s">
        <v>144</v>
      </c>
    </row>
    <row r="979" spans="1:10" hidden="1" x14ac:dyDescent="0.25">
      <c r="A979" s="2">
        <v>46053</v>
      </c>
      <c r="B979" t="s">
        <v>82</v>
      </c>
      <c r="C979" t="s">
        <v>83</v>
      </c>
      <c r="D979" t="s">
        <v>84</v>
      </c>
      <c r="H979">
        <v>384000</v>
      </c>
      <c r="I979">
        <v>384000</v>
      </c>
      <c r="J979" t="s">
        <v>144</v>
      </c>
    </row>
    <row r="980" spans="1:10" hidden="1" x14ac:dyDescent="0.25">
      <c r="A980" s="2">
        <v>46063</v>
      </c>
      <c r="B980" t="s">
        <v>82</v>
      </c>
      <c r="C980" t="s">
        <v>83</v>
      </c>
      <c r="D980" t="s">
        <v>84</v>
      </c>
      <c r="H980">
        <v>384000</v>
      </c>
      <c r="I980">
        <v>384000</v>
      </c>
      <c r="J980" t="s">
        <v>144</v>
      </c>
    </row>
    <row r="981" spans="1:10" hidden="1" x14ac:dyDescent="0.25">
      <c r="A981" s="2">
        <v>46087</v>
      </c>
      <c r="B981" t="s">
        <v>82</v>
      </c>
      <c r="C981" t="s">
        <v>83</v>
      </c>
      <c r="D981" t="s">
        <v>84</v>
      </c>
      <c r="H981">
        <v>384000</v>
      </c>
      <c r="I981">
        <v>384000</v>
      </c>
      <c r="J981" t="s">
        <v>144</v>
      </c>
    </row>
    <row r="982" spans="1:10" hidden="1" x14ac:dyDescent="0.25">
      <c r="A982" s="2">
        <v>46095</v>
      </c>
      <c r="B982" t="s">
        <v>82</v>
      </c>
      <c r="C982" t="s">
        <v>83</v>
      </c>
      <c r="D982" t="s">
        <v>84</v>
      </c>
      <c r="H982">
        <v>384000</v>
      </c>
      <c r="I982">
        <v>384000</v>
      </c>
      <c r="J982" t="s">
        <v>144</v>
      </c>
    </row>
    <row r="983" spans="1:10" hidden="1" x14ac:dyDescent="0.25">
      <c r="A983" s="2">
        <v>46115</v>
      </c>
      <c r="B983" t="s">
        <v>82</v>
      </c>
      <c r="C983" t="s">
        <v>83</v>
      </c>
      <c r="D983" t="s">
        <v>84</v>
      </c>
      <c r="H983">
        <v>384000</v>
      </c>
      <c r="I983">
        <v>384000</v>
      </c>
      <c r="J983" t="s">
        <v>144</v>
      </c>
    </row>
    <row r="984" spans="1:10" hidden="1" x14ac:dyDescent="0.25">
      <c r="A984" s="2">
        <v>46145</v>
      </c>
      <c r="B984" t="s">
        <v>82</v>
      </c>
      <c r="C984" t="s">
        <v>83</v>
      </c>
      <c r="D984" t="s">
        <v>84</v>
      </c>
      <c r="H984">
        <v>384000</v>
      </c>
      <c r="I984">
        <v>384000</v>
      </c>
      <c r="J984" t="s">
        <v>144</v>
      </c>
    </row>
    <row r="985" spans="1:10" hidden="1" x14ac:dyDescent="0.25">
      <c r="A985" s="2">
        <v>46161</v>
      </c>
      <c r="B985" t="s">
        <v>82</v>
      </c>
      <c r="C985" t="s">
        <v>83</v>
      </c>
      <c r="D985" t="s">
        <v>84</v>
      </c>
      <c r="H985">
        <v>384000</v>
      </c>
      <c r="I985">
        <v>384000</v>
      </c>
      <c r="J985" t="s">
        <v>144</v>
      </c>
    </row>
    <row r="986" spans="1:10" hidden="1" x14ac:dyDescent="0.25">
      <c r="A986" s="2">
        <v>46178</v>
      </c>
      <c r="B986" t="s">
        <v>82</v>
      </c>
      <c r="C986" t="s">
        <v>83</v>
      </c>
      <c r="D986" t="s">
        <v>84</v>
      </c>
      <c r="H986">
        <v>384000</v>
      </c>
      <c r="I986">
        <v>384000</v>
      </c>
      <c r="J986" t="s">
        <v>144</v>
      </c>
    </row>
    <row r="987" spans="1:10" hidden="1" x14ac:dyDescent="0.25">
      <c r="A987" s="2">
        <v>46192</v>
      </c>
      <c r="B987" t="s">
        <v>82</v>
      </c>
      <c r="C987" t="s">
        <v>83</v>
      </c>
      <c r="D987" t="s">
        <v>84</v>
      </c>
      <c r="H987">
        <v>384000</v>
      </c>
      <c r="I987">
        <v>384000</v>
      </c>
      <c r="J987" t="s">
        <v>144</v>
      </c>
    </row>
    <row r="988" spans="1:10" hidden="1" x14ac:dyDescent="0.25">
      <c r="A988" s="2">
        <v>46206</v>
      </c>
      <c r="B988" t="s">
        <v>82</v>
      </c>
      <c r="C988" t="s">
        <v>83</v>
      </c>
      <c r="D988" t="s">
        <v>84</v>
      </c>
      <c r="H988">
        <v>384000</v>
      </c>
      <c r="I988">
        <v>384000</v>
      </c>
      <c r="J988" t="s">
        <v>144</v>
      </c>
    </row>
    <row r="989" spans="1:10" hidden="1" x14ac:dyDescent="0.25">
      <c r="A989" s="2">
        <v>46219</v>
      </c>
      <c r="B989" t="s">
        <v>82</v>
      </c>
      <c r="C989" t="s">
        <v>83</v>
      </c>
      <c r="D989" t="s">
        <v>84</v>
      </c>
      <c r="H989">
        <v>384000</v>
      </c>
      <c r="I989">
        <v>384000</v>
      </c>
      <c r="J989" t="s">
        <v>144</v>
      </c>
    </row>
    <row r="990" spans="1:10" hidden="1" x14ac:dyDescent="0.25">
      <c r="A990" s="2">
        <v>45902</v>
      </c>
      <c r="B990" t="s">
        <v>86</v>
      </c>
      <c r="C990" t="s">
        <v>87</v>
      </c>
      <c r="D990" t="s">
        <v>88</v>
      </c>
      <c r="H990">
        <v>240000</v>
      </c>
      <c r="I990">
        <v>240000</v>
      </c>
      <c r="J990" t="s">
        <v>144</v>
      </c>
    </row>
    <row r="991" spans="1:10" hidden="1" x14ac:dyDescent="0.25">
      <c r="A991" s="2">
        <v>45919</v>
      </c>
      <c r="B991" t="s">
        <v>86</v>
      </c>
      <c r="C991" t="s">
        <v>87</v>
      </c>
      <c r="D991" t="s">
        <v>88</v>
      </c>
      <c r="H991">
        <v>240000</v>
      </c>
      <c r="I991">
        <v>240000</v>
      </c>
      <c r="J991" t="s">
        <v>144</v>
      </c>
    </row>
    <row r="992" spans="1:10" hidden="1" x14ac:dyDescent="0.25">
      <c r="A992" s="2">
        <v>45926</v>
      </c>
      <c r="B992" t="s">
        <v>86</v>
      </c>
      <c r="C992" t="s">
        <v>87</v>
      </c>
      <c r="D992" t="s">
        <v>88</v>
      </c>
      <c r="H992">
        <v>240000</v>
      </c>
      <c r="I992">
        <v>240000</v>
      </c>
      <c r="J992" t="s">
        <v>144</v>
      </c>
    </row>
    <row r="993" spans="1:10" hidden="1" x14ac:dyDescent="0.25">
      <c r="A993" s="2">
        <v>45933</v>
      </c>
      <c r="B993" t="s">
        <v>86</v>
      </c>
      <c r="C993" t="s">
        <v>87</v>
      </c>
      <c r="D993" t="s">
        <v>88</v>
      </c>
      <c r="H993">
        <v>240000</v>
      </c>
      <c r="I993">
        <v>240000</v>
      </c>
      <c r="J993" t="s">
        <v>144</v>
      </c>
    </row>
    <row r="994" spans="1:10" hidden="1" x14ac:dyDescent="0.25">
      <c r="A994" s="2">
        <v>45940</v>
      </c>
      <c r="B994" t="s">
        <v>86</v>
      </c>
      <c r="C994" t="s">
        <v>87</v>
      </c>
      <c r="D994" t="s">
        <v>88</v>
      </c>
      <c r="H994">
        <v>240000</v>
      </c>
      <c r="I994">
        <v>240000</v>
      </c>
      <c r="J994" t="s">
        <v>144</v>
      </c>
    </row>
    <row r="995" spans="1:10" hidden="1" x14ac:dyDescent="0.25">
      <c r="A995" s="2">
        <v>45954</v>
      </c>
      <c r="B995" t="s">
        <v>86</v>
      </c>
      <c r="C995" t="s">
        <v>87</v>
      </c>
      <c r="D995" t="s">
        <v>88</v>
      </c>
      <c r="H995">
        <v>240000</v>
      </c>
      <c r="I995">
        <v>240000</v>
      </c>
      <c r="J995" t="s">
        <v>144</v>
      </c>
    </row>
    <row r="996" spans="1:10" hidden="1" x14ac:dyDescent="0.25">
      <c r="A996" s="2">
        <v>45965</v>
      </c>
      <c r="B996" t="s">
        <v>86</v>
      </c>
      <c r="C996" t="s">
        <v>87</v>
      </c>
      <c r="D996" t="s">
        <v>88</v>
      </c>
      <c r="H996">
        <v>240000</v>
      </c>
      <c r="I996">
        <v>240000</v>
      </c>
      <c r="J996" t="s">
        <v>144</v>
      </c>
    </row>
    <row r="997" spans="1:10" hidden="1" x14ac:dyDescent="0.25">
      <c r="A997" s="2">
        <v>45972</v>
      </c>
      <c r="B997" t="s">
        <v>86</v>
      </c>
      <c r="C997" t="s">
        <v>87</v>
      </c>
      <c r="D997" t="s">
        <v>88</v>
      </c>
      <c r="H997">
        <v>240000</v>
      </c>
      <c r="I997">
        <v>240000</v>
      </c>
      <c r="J997" t="s">
        <v>144</v>
      </c>
    </row>
    <row r="998" spans="1:10" hidden="1" x14ac:dyDescent="0.25">
      <c r="A998" s="2">
        <v>45984</v>
      </c>
      <c r="B998" t="s">
        <v>86</v>
      </c>
      <c r="C998" t="s">
        <v>87</v>
      </c>
      <c r="D998" t="s">
        <v>88</v>
      </c>
      <c r="H998">
        <v>240000</v>
      </c>
      <c r="I998">
        <v>240000</v>
      </c>
      <c r="J998" t="s">
        <v>144</v>
      </c>
    </row>
    <row r="999" spans="1:10" hidden="1" x14ac:dyDescent="0.25">
      <c r="A999" s="2">
        <v>45996</v>
      </c>
      <c r="B999" t="s">
        <v>86</v>
      </c>
      <c r="C999" t="s">
        <v>87</v>
      </c>
      <c r="D999" t="s">
        <v>88</v>
      </c>
      <c r="H999">
        <v>240000</v>
      </c>
      <c r="I999">
        <v>240000</v>
      </c>
      <c r="J999" t="s">
        <v>144</v>
      </c>
    </row>
    <row r="1000" spans="1:10" hidden="1" x14ac:dyDescent="0.25">
      <c r="A1000" s="2">
        <v>46003</v>
      </c>
      <c r="B1000" t="s">
        <v>86</v>
      </c>
      <c r="C1000" t="s">
        <v>87</v>
      </c>
      <c r="D1000" t="s">
        <v>88</v>
      </c>
      <c r="H1000">
        <v>240000</v>
      </c>
      <c r="I1000">
        <v>240000</v>
      </c>
      <c r="J1000" t="s">
        <v>144</v>
      </c>
    </row>
    <row r="1001" spans="1:10" hidden="1" x14ac:dyDescent="0.25">
      <c r="A1001" s="2">
        <v>46014</v>
      </c>
      <c r="B1001" t="s">
        <v>86</v>
      </c>
      <c r="C1001" t="s">
        <v>87</v>
      </c>
      <c r="D1001" t="s">
        <v>88</v>
      </c>
      <c r="H1001">
        <v>240000</v>
      </c>
      <c r="I1001">
        <v>240000</v>
      </c>
      <c r="J1001" t="s">
        <v>144</v>
      </c>
    </row>
    <row r="1002" spans="1:10" hidden="1" x14ac:dyDescent="0.25">
      <c r="A1002" s="2">
        <v>46034</v>
      </c>
      <c r="B1002" t="s">
        <v>86</v>
      </c>
      <c r="C1002" t="s">
        <v>87</v>
      </c>
      <c r="D1002" t="s">
        <v>88</v>
      </c>
      <c r="H1002">
        <v>240000</v>
      </c>
      <c r="I1002">
        <v>240000</v>
      </c>
      <c r="J1002" t="s">
        <v>144</v>
      </c>
    </row>
    <row r="1003" spans="1:10" hidden="1" x14ac:dyDescent="0.25">
      <c r="A1003" s="2">
        <v>46053</v>
      </c>
      <c r="B1003" t="s">
        <v>86</v>
      </c>
      <c r="C1003" t="s">
        <v>87</v>
      </c>
      <c r="D1003" t="s">
        <v>88</v>
      </c>
      <c r="H1003">
        <v>240000</v>
      </c>
      <c r="I1003">
        <v>240000</v>
      </c>
      <c r="J1003" t="s">
        <v>144</v>
      </c>
    </row>
    <row r="1004" spans="1:10" hidden="1" x14ac:dyDescent="0.25">
      <c r="A1004" s="2">
        <v>46065</v>
      </c>
      <c r="B1004" t="s">
        <v>86</v>
      </c>
      <c r="C1004" t="s">
        <v>87</v>
      </c>
      <c r="D1004" t="s">
        <v>88</v>
      </c>
      <c r="H1004">
        <v>240000</v>
      </c>
      <c r="I1004">
        <v>240000</v>
      </c>
      <c r="J1004" t="s">
        <v>144</v>
      </c>
    </row>
    <row r="1005" spans="1:10" hidden="1" x14ac:dyDescent="0.25">
      <c r="A1005" s="2">
        <v>46088</v>
      </c>
      <c r="B1005" t="s">
        <v>86</v>
      </c>
      <c r="C1005" t="s">
        <v>87</v>
      </c>
      <c r="D1005" t="s">
        <v>88</v>
      </c>
      <c r="H1005">
        <v>240000</v>
      </c>
      <c r="I1005">
        <v>240000</v>
      </c>
      <c r="J1005" t="s">
        <v>144</v>
      </c>
    </row>
    <row r="1006" spans="1:10" hidden="1" x14ac:dyDescent="0.25">
      <c r="A1006" s="2">
        <v>46101</v>
      </c>
      <c r="B1006" t="s">
        <v>86</v>
      </c>
      <c r="C1006" t="s">
        <v>87</v>
      </c>
      <c r="D1006" t="s">
        <v>88</v>
      </c>
      <c r="H1006">
        <v>240000</v>
      </c>
      <c r="I1006">
        <v>240000</v>
      </c>
      <c r="J1006" t="s">
        <v>144</v>
      </c>
    </row>
    <row r="1007" spans="1:10" hidden="1" x14ac:dyDescent="0.25">
      <c r="A1007" s="2">
        <v>46122</v>
      </c>
      <c r="B1007" t="s">
        <v>86</v>
      </c>
      <c r="C1007" t="s">
        <v>87</v>
      </c>
      <c r="D1007" t="s">
        <v>88</v>
      </c>
      <c r="H1007">
        <v>240000</v>
      </c>
      <c r="I1007">
        <v>240000</v>
      </c>
      <c r="J1007" t="s">
        <v>144</v>
      </c>
    </row>
    <row r="1008" spans="1:10" hidden="1" x14ac:dyDescent="0.25">
      <c r="A1008" s="2">
        <v>46143</v>
      </c>
      <c r="B1008" t="s">
        <v>86</v>
      </c>
      <c r="C1008" t="s">
        <v>87</v>
      </c>
      <c r="D1008" t="s">
        <v>88</v>
      </c>
      <c r="H1008">
        <v>240000</v>
      </c>
      <c r="I1008">
        <v>240000</v>
      </c>
      <c r="J1008" t="s">
        <v>144</v>
      </c>
    </row>
    <row r="1009" spans="1:10" hidden="1" x14ac:dyDescent="0.25">
      <c r="A1009" s="2">
        <v>46162</v>
      </c>
      <c r="B1009" t="s">
        <v>86</v>
      </c>
      <c r="C1009" t="s">
        <v>87</v>
      </c>
      <c r="D1009" t="s">
        <v>88</v>
      </c>
      <c r="H1009">
        <v>240000</v>
      </c>
      <c r="I1009">
        <v>240000</v>
      </c>
      <c r="J1009" t="s">
        <v>144</v>
      </c>
    </row>
    <row r="1010" spans="1:10" hidden="1" x14ac:dyDescent="0.25">
      <c r="A1010" s="2">
        <v>46198</v>
      </c>
      <c r="B1010" t="s">
        <v>86</v>
      </c>
      <c r="C1010" t="s">
        <v>87</v>
      </c>
      <c r="D1010" t="s">
        <v>88</v>
      </c>
      <c r="H1010">
        <v>240000</v>
      </c>
      <c r="I1010">
        <v>240000</v>
      </c>
      <c r="J1010" t="s">
        <v>144</v>
      </c>
    </row>
    <row r="1011" spans="1:10" hidden="1" x14ac:dyDescent="0.25">
      <c r="A1011" s="2">
        <v>46225</v>
      </c>
      <c r="B1011" t="s">
        <v>86</v>
      </c>
      <c r="C1011" t="s">
        <v>87</v>
      </c>
      <c r="D1011" t="s">
        <v>88</v>
      </c>
      <c r="H1011">
        <v>240000</v>
      </c>
      <c r="I1011">
        <v>240000</v>
      </c>
      <c r="J1011" t="s">
        <v>144</v>
      </c>
    </row>
    <row r="1012" spans="1:10" hidden="1" x14ac:dyDescent="0.25">
      <c r="A1012" s="2">
        <v>45923</v>
      </c>
      <c r="B1012" t="s">
        <v>90</v>
      </c>
      <c r="C1012" t="s">
        <v>91</v>
      </c>
      <c r="D1012" t="s">
        <v>92</v>
      </c>
      <c r="H1012">
        <v>240000</v>
      </c>
      <c r="I1012">
        <v>240000</v>
      </c>
      <c r="J1012" t="s">
        <v>144</v>
      </c>
    </row>
    <row r="1013" spans="1:10" hidden="1" x14ac:dyDescent="0.25">
      <c r="A1013" s="2">
        <v>45930</v>
      </c>
      <c r="B1013" t="s">
        <v>90</v>
      </c>
      <c r="C1013" t="s">
        <v>91</v>
      </c>
      <c r="D1013" t="s">
        <v>92</v>
      </c>
      <c r="H1013">
        <v>240000</v>
      </c>
      <c r="I1013">
        <v>240000</v>
      </c>
      <c r="J1013" t="s">
        <v>144</v>
      </c>
    </row>
    <row r="1014" spans="1:10" hidden="1" x14ac:dyDescent="0.25">
      <c r="A1014" s="2">
        <v>45937</v>
      </c>
      <c r="B1014" t="s">
        <v>90</v>
      </c>
      <c r="C1014" t="s">
        <v>91</v>
      </c>
      <c r="D1014" t="s">
        <v>92</v>
      </c>
      <c r="H1014">
        <v>240000</v>
      </c>
      <c r="I1014">
        <v>240000</v>
      </c>
      <c r="J1014" t="s">
        <v>144</v>
      </c>
    </row>
    <row r="1015" spans="1:10" hidden="1" x14ac:dyDescent="0.25">
      <c r="A1015" s="2">
        <v>45944</v>
      </c>
      <c r="B1015" t="s">
        <v>90</v>
      </c>
      <c r="C1015" t="s">
        <v>91</v>
      </c>
      <c r="D1015" t="s">
        <v>92</v>
      </c>
      <c r="H1015">
        <v>240000</v>
      </c>
      <c r="I1015">
        <v>240000</v>
      </c>
      <c r="J1015" t="s">
        <v>144</v>
      </c>
    </row>
    <row r="1016" spans="1:10" hidden="1" x14ac:dyDescent="0.25">
      <c r="A1016" s="2">
        <v>45951</v>
      </c>
      <c r="B1016" t="s">
        <v>90</v>
      </c>
      <c r="C1016" t="s">
        <v>91</v>
      </c>
      <c r="D1016" t="s">
        <v>92</v>
      </c>
      <c r="H1016">
        <v>240000</v>
      </c>
      <c r="I1016">
        <v>240000</v>
      </c>
      <c r="J1016" t="s">
        <v>144</v>
      </c>
    </row>
    <row r="1017" spans="1:10" hidden="1" x14ac:dyDescent="0.25">
      <c r="A1017" s="2">
        <v>45958</v>
      </c>
      <c r="B1017" t="s">
        <v>90</v>
      </c>
      <c r="C1017" t="s">
        <v>91</v>
      </c>
      <c r="D1017" t="s">
        <v>92</v>
      </c>
      <c r="H1017">
        <v>240000</v>
      </c>
      <c r="I1017">
        <v>240000</v>
      </c>
      <c r="J1017" t="s">
        <v>144</v>
      </c>
    </row>
    <row r="1018" spans="1:10" hidden="1" x14ac:dyDescent="0.25">
      <c r="A1018" s="2">
        <v>45965</v>
      </c>
      <c r="B1018" t="s">
        <v>90</v>
      </c>
      <c r="C1018" t="s">
        <v>91</v>
      </c>
      <c r="D1018" t="s">
        <v>92</v>
      </c>
      <c r="H1018">
        <v>240000</v>
      </c>
      <c r="I1018">
        <v>240000</v>
      </c>
      <c r="J1018" t="s">
        <v>144</v>
      </c>
    </row>
    <row r="1019" spans="1:10" hidden="1" x14ac:dyDescent="0.25">
      <c r="A1019" s="2">
        <v>45972</v>
      </c>
      <c r="B1019" t="s">
        <v>90</v>
      </c>
      <c r="C1019" t="s">
        <v>91</v>
      </c>
      <c r="D1019" t="s">
        <v>92</v>
      </c>
      <c r="H1019">
        <v>240000</v>
      </c>
      <c r="I1019">
        <v>240000</v>
      </c>
      <c r="J1019" t="s">
        <v>144</v>
      </c>
    </row>
    <row r="1020" spans="1:10" hidden="1" x14ac:dyDescent="0.25">
      <c r="A1020" s="2">
        <v>45979</v>
      </c>
      <c r="B1020" t="s">
        <v>90</v>
      </c>
      <c r="C1020" t="s">
        <v>91</v>
      </c>
      <c r="D1020" t="s">
        <v>92</v>
      </c>
      <c r="H1020">
        <v>240000</v>
      </c>
      <c r="I1020">
        <v>240000</v>
      </c>
      <c r="J1020" t="s">
        <v>144</v>
      </c>
    </row>
    <row r="1021" spans="1:10" hidden="1" x14ac:dyDescent="0.25">
      <c r="A1021" s="2">
        <v>45986</v>
      </c>
      <c r="B1021" t="s">
        <v>90</v>
      </c>
      <c r="C1021" t="s">
        <v>91</v>
      </c>
      <c r="D1021" t="s">
        <v>92</v>
      </c>
      <c r="H1021">
        <v>240000</v>
      </c>
      <c r="I1021">
        <v>240000</v>
      </c>
      <c r="J1021" t="s">
        <v>144</v>
      </c>
    </row>
    <row r="1022" spans="1:10" hidden="1" x14ac:dyDescent="0.25">
      <c r="A1022" s="2">
        <v>45993</v>
      </c>
      <c r="B1022" t="s">
        <v>90</v>
      </c>
      <c r="C1022" t="s">
        <v>91</v>
      </c>
      <c r="D1022" t="s">
        <v>92</v>
      </c>
      <c r="H1022">
        <v>240000</v>
      </c>
      <c r="I1022">
        <v>240000</v>
      </c>
      <c r="J1022" t="s">
        <v>144</v>
      </c>
    </row>
    <row r="1023" spans="1:10" hidden="1" x14ac:dyDescent="0.25">
      <c r="A1023" s="2">
        <v>46000</v>
      </c>
      <c r="B1023" t="s">
        <v>90</v>
      </c>
      <c r="C1023" t="s">
        <v>91</v>
      </c>
      <c r="D1023" t="s">
        <v>92</v>
      </c>
      <c r="H1023">
        <v>240000</v>
      </c>
      <c r="I1023">
        <v>240000</v>
      </c>
      <c r="J1023" t="s">
        <v>144</v>
      </c>
    </row>
    <row r="1024" spans="1:10" hidden="1" x14ac:dyDescent="0.25">
      <c r="A1024" s="2">
        <v>46007</v>
      </c>
      <c r="B1024" t="s">
        <v>90</v>
      </c>
      <c r="C1024" t="s">
        <v>91</v>
      </c>
      <c r="D1024" t="s">
        <v>92</v>
      </c>
      <c r="H1024">
        <v>240000</v>
      </c>
      <c r="I1024">
        <v>240000</v>
      </c>
      <c r="J1024" t="s">
        <v>144</v>
      </c>
    </row>
    <row r="1025" spans="1:10" hidden="1" x14ac:dyDescent="0.25">
      <c r="A1025" s="2">
        <v>46014</v>
      </c>
      <c r="B1025" t="s">
        <v>90</v>
      </c>
      <c r="C1025" t="s">
        <v>91</v>
      </c>
      <c r="D1025" t="s">
        <v>92</v>
      </c>
      <c r="H1025">
        <v>240000</v>
      </c>
      <c r="I1025">
        <v>240000</v>
      </c>
      <c r="J1025" t="s">
        <v>144</v>
      </c>
    </row>
    <row r="1026" spans="1:10" hidden="1" x14ac:dyDescent="0.25">
      <c r="A1026" s="2">
        <v>46021</v>
      </c>
      <c r="B1026" t="s">
        <v>90</v>
      </c>
      <c r="C1026" t="s">
        <v>91</v>
      </c>
      <c r="D1026" t="s">
        <v>92</v>
      </c>
      <c r="H1026">
        <v>240000</v>
      </c>
      <c r="I1026">
        <v>240000</v>
      </c>
      <c r="J1026" t="s">
        <v>144</v>
      </c>
    </row>
    <row r="1027" spans="1:10" hidden="1" x14ac:dyDescent="0.25">
      <c r="A1027" s="2">
        <v>46028</v>
      </c>
      <c r="B1027" t="s">
        <v>90</v>
      </c>
      <c r="C1027" t="s">
        <v>91</v>
      </c>
      <c r="D1027" t="s">
        <v>92</v>
      </c>
      <c r="H1027">
        <v>240000</v>
      </c>
      <c r="I1027">
        <v>240000</v>
      </c>
      <c r="J1027" t="s">
        <v>144</v>
      </c>
    </row>
    <row r="1028" spans="1:10" hidden="1" x14ac:dyDescent="0.25">
      <c r="A1028" s="2">
        <v>46035</v>
      </c>
      <c r="B1028" t="s">
        <v>90</v>
      </c>
      <c r="C1028" t="s">
        <v>91</v>
      </c>
      <c r="D1028" t="s">
        <v>92</v>
      </c>
      <c r="H1028">
        <v>240000</v>
      </c>
      <c r="I1028">
        <v>240000</v>
      </c>
      <c r="J1028" t="s">
        <v>144</v>
      </c>
    </row>
    <row r="1029" spans="1:10" hidden="1" x14ac:dyDescent="0.25">
      <c r="A1029" s="2">
        <v>46042</v>
      </c>
      <c r="B1029" t="s">
        <v>90</v>
      </c>
      <c r="C1029" t="s">
        <v>91</v>
      </c>
      <c r="D1029" t="s">
        <v>92</v>
      </c>
      <c r="H1029">
        <v>240000</v>
      </c>
      <c r="I1029">
        <v>240000</v>
      </c>
      <c r="J1029" t="s">
        <v>144</v>
      </c>
    </row>
    <row r="1030" spans="1:10" hidden="1" x14ac:dyDescent="0.25">
      <c r="A1030" s="2">
        <v>46049</v>
      </c>
      <c r="B1030" t="s">
        <v>90</v>
      </c>
      <c r="C1030" t="s">
        <v>91</v>
      </c>
      <c r="D1030" t="s">
        <v>92</v>
      </c>
      <c r="H1030">
        <v>240000</v>
      </c>
      <c r="I1030">
        <v>240000</v>
      </c>
      <c r="J1030" t="s">
        <v>144</v>
      </c>
    </row>
    <row r="1031" spans="1:10" hidden="1" x14ac:dyDescent="0.25">
      <c r="A1031" s="2">
        <v>46056</v>
      </c>
      <c r="B1031" t="s">
        <v>90</v>
      </c>
      <c r="C1031" t="s">
        <v>91</v>
      </c>
      <c r="D1031" t="s">
        <v>92</v>
      </c>
      <c r="H1031">
        <v>240000</v>
      </c>
      <c r="I1031">
        <v>240000</v>
      </c>
      <c r="J1031" t="s">
        <v>144</v>
      </c>
    </row>
    <row r="1032" spans="1:10" hidden="1" x14ac:dyDescent="0.25">
      <c r="A1032" s="2">
        <v>46063</v>
      </c>
      <c r="B1032" t="s">
        <v>90</v>
      </c>
      <c r="C1032" t="s">
        <v>91</v>
      </c>
      <c r="D1032" t="s">
        <v>92</v>
      </c>
      <c r="H1032">
        <v>240000</v>
      </c>
      <c r="I1032">
        <v>240000</v>
      </c>
      <c r="J1032" t="s">
        <v>144</v>
      </c>
    </row>
    <row r="1033" spans="1:10" hidden="1" x14ac:dyDescent="0.25">
      <c r="A1033" s="2">
        <v>46070</v>
      </c>
      <c r="B1033" t="s">
        <v>90</v>
      </c>
      <c r="C1033" t="s">
        <v>91</v>
      </c>
      <c r="D1033" t="s">
        <v>92</v>
      </c>
      <c r="H1033">
        <v>240000</v>
      </c>
      <c r="I1033">
        <v>240000</v>
      </c>
      <c r="J1033" t="s">
        <v>144</v>
      </c>
    </row>
    <row r="1034" spans="1:10" hidden="1" x14ac:dyDescent="0.25">
      <c r="A1034" s="2">
        <v>46077</v>
      </c>
      <c r="B1034" t="s">
        <v>90</v>
      </c>
      <c r="C1034" t="s">
        <v>91</v>
      </c>
      <c r="D1034" t="s">
        <v>92</v>
      </c>
      <c r="H1034">
        <v>240000</v>
      </c>
      <c r="I1034">
        <v>240000</v>
      </c>
      <c r="J1034" t="s">
        <v>144</v>
      </c>
    </row>
    <row r="1035" spans="1:10" hidden="1" x14ac:dyDescent="0.25">
      <c r="A1035" s="2">
        <v>46084</v>
      </c>
      <c r="B1035" t="s">
        <v>90</v>
      </c>
      <c r="C1035" t="s">
        <v>91</v>
      </c>
      <c r="D1035" t="s">
        <v>92</v>
      </c>
      <c r="H1035">
        <v>240000</v>
      </c>
      <c r="I1035">
        <v>240000</v>
      </c>
      <c r="J1035" t="s">
        <v>144</v>
      </c>
    </row>
    <row r="1036" spans="1:10" hidden="1" x14ac:dyDescent="0.25">
      <c r="A1036" s="2">
        <v>46091</v>
      </c>
      <c r="B1036" t="s">
        <v>90</v>
      </c>
      <c r="C1036" t="s">
        <v>91</v>
      </c>
      <c r="D1036" t="s">
        <v>92</v>
      </c>
      <c r="H1036">
        <v>240000</v>
      </c>
      <c r="I1036">
        <v>240000</v>
      </c>
      <c r="J1036" t="s">
        <v>144</v>
      </c>
    </row>
    <row r="1037" spans="1:10" hidden="1" x14ac:dyDescent="0.25">
      <c r="A1037" s="2">
        <v>46098</v>
      </c>
      <c r="B1037" t="s">
        <v>90</v>
      </c>
      <c r="C1037" t="s">
        <v>91</v>
      </c>
      <c r="D1037" t="s">
        <v>92</v>
      </c>
      <c r="H1037">
        <v>240000</v>
      </c>
      <c r="I1037">
        <v>240000</v>
      </c>
      <c r="J1037" t="s">
        <v>144</v>
      </c>
    </row>
    <row r="1038" spans="1:10" hidden="1" x14ac:dyDescent="0.25">
      <c r="A1038" s="2">
        <v>46105</v>
      </c>
      <c r="B1038" t="s">
        <v>90</v>
      </c>
      <c r="C1038" t="s">
        <v>91</v>
      </c>
      <c r="D1038" t="s">
        <v>92</v>
      </c>
      <c r="H1038">
        <v>240000</v>
      </c>
      <c r="I1038">
        <v>240000</v>
      </c>
      <c r="J1038" t="s">
        <v>144</v>
      </c>
    </row>
    <row r="1039" spans="1:10" hidden="1" x14ac:dyDescent="0.25">
      <c r="A1039" s="2">
        <v>46112</v>
      </c>
      <c r="B1039" t="s">
        <v>90</v>
      </c>
      <c r="C1039" t="s">
        <v>91</v>
      </c>
      <c r="D1039" t="s">
        <v>92</v>
      </c>
      <c r="H1039">
        <v>240000</v>
      </c>
      <c r="I1039">
        <v>240000</v>
      </c>
      <c r="J1039" t="s">
        <v>144</v>
      </c>
    </row>
    <row r="1040" spans="1:10" hidden="1" x14ac:dyDescent="0.25">
      <c r="A1040" s="2">
        <v>46119</v>
      </c>
      <c r="B1040" t="s">
        <v>90</v>
      </c>
      <c r="C1040" t="s">
        <v>91</v>
      </c>
      <c r="D1040" t="s">
        <v>92</v>
      </c>
      <c r="H1040">
        <v>240000</v>
      </c>
      <c r="I1040">
        <v>240000</v>
      </c>
      <c r="J1040" t="s">
        <v>144</v>
      </c>
    </row>
    <row r="1041" spans="1:10" hidden="1" x14ac:dyDescent="0.25">
      <c r="A1041" s="2">
        <v>46126</v>
      </c>
      <c r="B1041" t="s">
        <v>90</v>
      </c>
      <c r="C1041" t="s">
        <v>91</v>
      </c>
      <c r="D1041" t="s">
        <v>92</v>
      </c>
      <c r="H1041">
        <v>240000</v>
      </c>
      <c r="I1041">
        <v>240000</v>
      </c>
      <c r="J1041" t="s">
        <v>144</v>
      </c>
    </row>
    <row r="1042" spans="1:10" hidden="1" x14ac:dyDescent="0.25">
      <c r="A1042" s="2">
        <v>46143</v>
      </c>
      <c r="B1042" t="s">
        <v>90</v>
      </c>
      <c r="C1042" t="s">
        <v>91</v>
      </c>
      <c r="D1042" t="s">
        <v>92</v>
      </c>
      <c r="H1042">
        <v>240000</v>
      </c>
      <c r="I1042">
        <v>240000</v>
      </c>
      <c r="J1042" t="s">
        <v>144</v>
      </c>
    </row>
    <row r="1043" spans="1:10" hidden="1" x14ac:dyDescent="0.25">
      <c r="A1043" s="2">
        <v>46165</v>
      </c>
      <c r="B1043" t="s">
        <v>90</v>
      </c>
      <c r="C1043" t="s">
        <v>91</v>
      </c>
      <c r="D1043" t="s">
        <v>92</v>
      </c>
      <c r="H1043">
        <v>240000</v>
      </c>
      <c r="I1043">
        <v>240000</v>
      </c>
      <c r="J1043" t="s">
        <v>144</v>
      </c>
    </row>
    <row r="1044" spans="1:10" hidden="1" x14ac:dyDescent="0.25">
      <c r="A1044" s="2">
        <v>46172</v>
      </c>
      <c r="B1044" t="s">
        <v>90</v>
      </c>
      <c r="C1044" t="s">
        <v>91</v>
      </c>
      <c r="D1044" t="s">
        <v>92</v>
      </c>
      <c r="H1044">
        <v>240000</v>
      </c>
      <c r="I1044">
        <v>240000</v>
      </c>
      <c r="J1044" t="s">
        <v>144</v>
      </c>
    </row>
    <row r="1045" spans="1:10" hidden="1" x14ac:dyDescent="0.25">
      <c r="A1045" s="2">
        <v>46182</v>
      </c>
      <c r="B1045" t="s">
        <v>90</v>
      </c>
      <c r="C1045" t="s">
        <v>91</v>
      </c>
      <c r="D1045" t="s">
        <v>92</v>
      </c>
      <c r="H1045">
        <v>240000</v>
      </c>
      <c r="I1045">
        <v>240000</v>
      </c>
      <c r="J1045" t="s">
        <v>144</v>
      </c>
    </row>
    <row r="1046" spans="1:10" hidden="1" x14ac:dyDescent="0.25">
      <c r="A1046" s="2">
        <v>46188</v>
      </c>
      <c r="B1046" t="s">
        <v>90</v>
      </c>
      <c r="C1046" t="s">
        <v>91</v>
      </c>
      <c r="D1046" t="s">
        <v>92</v>
      </c>
      <c r="H1046">
        <v>240000</v>
      </c>
      <c r="I1046">
        <v>240000</v>
      </c>
      <c r="J1046" t="s">
        <v>144</v>
      </c>
    </row>
    <row r="1047" spans="1:10" hidden="1" x14ac:dyDescent="0.25">
      <c r="A1047" s="2">
        <v>46199</v>
      </c>
      <c r="B1047" t="s">
        <v>90</v>
      </c>
      <c r="C1047" t="s">
        <v>91</v>
      </c>
      <c r="D1047" t="s">
        <v>92</v>
      </c>
      <c r="H1047">
        <v>240000</v>
      </c>
      <c r="I1047">
        <v>240000</v>
      </c>
      <c r="J1047" t="s">
        <v>144</v>
      </c>
    </row>
    <row r="1048" spans="1:10" hidden="1" x14ac:dyDescent="0.25">
      <c r="A1048" s="2">
        <v>46210</v>
      </c>
      <c r="B1048" t="s">
        <v>90</v>
      </c>
      <c r="C1048" t="s">
        <v>91</v>
      </c>
      <c r="D1048" t="s">
        <v>92</v>
      </c>
      <c r="H1048">
        <v>240000</v>
      </c>
      <c r="I1048">
        <v>240000</v>
      </c>
      <c r="J1048" t="s">
        <v>144</v>
      </c>
    </row>
    <row r="1049" spans="1:10" hidden="1" x14ac:dyDescent="0.25">
      <c r="A1049" s="2">
        <v>46215</v>
      </c>
      <c r="B1049" t="s">
        <v>90</v>
      </c>
      <c r="C1049" t="s">
        <v>91</v>
      </c>
      <c r="D1049" t="s">
        <v>92</v>
      </c>
      <c r="H1049">
        <v>240000</v>
      </c>
      <c r="I1049">
        <v>240000</v>
      </c>
      <c r="J1049" t="s">
        <v>144</v>
      </c>
    </row>
    <row r="1050" spans="1:10" hidden="1" x14ac:dyDescent="0.25">
      <c r="A1050" s="2">
        <v>46222</v>
      </c>
      <c r="B1050" t="s">
        <v>90</v>
      </c>
      <c r="C1050" t="s">
        <v>91</v>
      </c>
      <c r="D1050" t="s">
        <v>92</v>
      </c>
      <c r="H1050">
        <v>240000</v>
      </c>
      <c r="I1050">
        <v>240000</v>
      </c>
      <c r="J1050" t="s">
        <v>144</v>
      </c>
    </row>
    <row r="1051" spans="1:10" hidden="1" x14ac:dyDescent="0.25">
      <c r="A1051" s="2">
        <v>46229</v>
      </c>
      <c r="B1051" t="s">
        <v>90</v>
      </c>
      <c r="C1051" t="s">
        <v>91</v>
      </c>
      <c r="D1051" t="s">
        <v>92</v>
      </c>
      <c r="H1051">
        <v>240000</v>
      </c>
      <c r="I1051">
        <v>240000</v>
      </c>
      <c r="J1051" t="s">
        <v>144</v>
      </c>
    </row>
    <row r="1052" spans="1:10" hidden="1" x14ac:dyDescent="0.25">
      <c r="A1052" s="2">
        <v>46235</v>
      </c>
      <c r="B1052" t="s">
        <v>90</v>
      </c>
      <c r="C1052" t="s">
        <v>91</v>
      </c>
      <c r="D1052" t="s">
        <v>92</v>
      </c>
      <c r="H1052">
        <v>240000</v>
      </c>
      <c r="I1052">
        <v>240000</v>
      </c>
      <c r="J1052" t="s">
        <v>144</v>
      </c>
    </row>
    <row r="1053" spans="1:10" hidden="1" x14ac:dyDescent="0.25">
      <c r="A1053" s="2">
        <v>46045</v>
      </c>
      <c r="B1053" t="s">
        <v>94</v>
      </c>
      <c r="C1053" t="s">
        <v>95</v>
      </c>
      <c r="D1053" t="s">
        <v>96</v>
      </c>
      <c r="H1053">
        <v>240000</v>
      </c>
      <c r="I1053">
        <v>240000</v>
      </c>
      <c r="J1053" t="s">
        <v>144</v>
      </c>
    </row>
    <row r="1054" spans="1:10" hidden="1" x14ac:dyDescent="0.25">
      <c r="A1054" s="2">
        <v>46054</v>
      </c>
      <c r="B1054" t="s">
        <v>94</v>
      </c>
      <c r="C1054" t="s">
        <v>95</v>
      </c>
      <c r="D1054" t="s">
        <v>96</v>
      </c>
      <c r="H1054">
        <v>240000</v>
      </c>
      <c r="I1054">
        <v>240000</v>
      </c>
      <c r="J1054" t="s">
        <v>144</v>
      </c>
    </row>
    <row r="1055" spans="1:10" hidden="1" x14ac:dyDescent="0.25">
      <c r="A1055" s="2">
        <v>46064</v>
      </c>
      <c r="B1055" t="s">
        <v>94</v>
      </c>
      <c r="C1055" t="s">
        <v>95</v>
      </c>
      <c r="D1055" t="s">
        <v>96</v>
      </c>
      <c r="H1055">
        <v>240000</v>
      </c>
      <c r="I1055">
        <v>240000</v>
      </c>
      <c r="J1055" t="s">
        <v>144</v>
      </c>
    </row>
    <row r="1056" spans="1:10" hidden="1" x14ac:dyDescent="0.25">
      <c r="A1056" s="2">
        <v>46071</v>
      </c>
      <c r="B1056" t="s">
        <v>94</v>
      </c>
      <c r="C1056" t="s">
        <v>95</v>
      </c>
      <c r="D1056" t="s">
        <v>96</v>
      </c>
      <c r="H1056">
        <v>240000</v>
      </c>
      <c r="I1056">
        <v>240000</v>
      </c>
      <c r="J1056" t="s">
        <v>144</v>
      </c>
    </row>
    <row r="1057" spans="1:10" hidden="1" x14ac:dyDescent="0.25">
      <c r="A1057" s="2">
        <v>46079</v>
      </c>
      <c r="B1057" t="s">
        <v>94</v>
      </c>
      <c r="C1057" t="s">
        <v>95</v>
      </c>
      <c r="D1057" t="s">
        <v>96</v>
      </c>
      <c r="H1057">
        <v>240000</v>
      </c>
      <c r="I1057">
        <v>240000</v>
      </c>
      <c r="J1057" t="s">
        <v>144</v>
      </c>
    </row>
    <row r="1058" spans="1:10" hidden="1" x14ac:dyDescent="0.25">
      <c r="A1058" s="2">
        <v>46086</v>
      </c>
      <c r="B1058" t="s">
        <v>94</v>
      </c>
      <c r="C1058" t="s">
        <v>95</v>
      </c>
      <c r="D1058" t="s">
        <v>96</v>
      </c>
      <c r="H1058">
        <v>240000</v>
      </c>
      <c r="I1058">
        <v>240000</v>
      </c>
      <c r="J1058" t="s">
        <v>144</v>
      </c>
    </row>
    <row r="1059" spans="1:10" hidden="1" x14ac:dyDescent="0.25">
      <c r="A1059" s="2">
        <v>46093</v>
      </c>
      <c r="B1059" t="s">
        <v>94</v>
      </c>
      <c r="C1059" t="s">
        <v>95</v>
      </c>
      <c r="D1059" t="s">
        <v>96</v>
      </c>
      <c r="H1059">
        <v>240000</v>
      </c>
      <c r="I1059">
        <v>240000</v>
      </c>
      <c r="J1059" t="s">
        <v>144</v>
      </c>
    </row>
    <row r="1060" spans="1:10" hidden="1" x14ac:dyDescent="0.25">
      <c r="A1060" s="2">
        <v>46100</v>
      </c>
      <c r="B1060" t="s">
        <v>94</v>
      </c>
      <c r="C1060" t="s">
        <v>95</v>
      </c>
      <c r="D1060" t="s">
        <v>96</v>
      </c>
      <c r="H1060">
        <v>240000</v>
      </c>
      <c r="I1060">
        <v>240000</v>
      </c>
      <c r="J1060" t="s">
        <v>144</v>
      </c>
    </row>
    <row r="1061" spans="1:10" hidden="1" x14ac:dyDescent="0.25">
      <c r="A1061" s="2">
        <v>46107</v>
      </c>
      <c r="B1061" t="s">
        <v>94</v>
      </c>
      <c r="C1061" t="s">
        <v>95</v>
      </c>
      <c r="D1061" t="s">
        <v>96</v>
      </c>
      <c r="H1061">
        <v>240000</v>
      </c>
      <c r="I1061">
        <v>240000</v>
      </c>
      <c r="J1061" t="s">
        <v>144</v>
      </c>
    </row>
    <row r="1062" spans="1:10" hidden="1" x14ac:dyDescent="0.25">
      <c r="A1062" s="2">
        <v>46114</v>
      </c>
      <c r="B1062" t="s">
        <v>94</v>
      </c>
      <c r="C1062" t="s">
        <v>95</v>
      </c>
      <c r="D1062" t="s">
        <v>96</v>
      </c>
      <c r="H1062">
        <v>240000</v>
      </c>
      <c r="I1062">
        <v>240000</v>
      </c>
      <c r="J1062" t="s">
        <v>144</v>
      </c>
    </row>
    <row r="1063" spans="1:10" hidden="1" x14ac:dyDescent="0.25">
      <c r="A1063" s="2">
        <v>46121</v>
      </c>
      <c r="B1063" t="s">
        <v>94</v>
      </c>
      <c r="C1063" t="s">
        <v>95</v>
      </c>
      <c r="D1063" t="s">
        <v>96</v>
      </c>
      <c r="H1063">
        <v>240000</v>
      </c>
      <c r="I1063">
        <v>240000</v>
      </c>
      <c r="J1063" t="s">
        <v>144</v>
      </c>
    </row>
    <row r="1064" spans="1:10" hidden="1" x14ac:dyDescent="0.25">
      <c r="A1064" s="2">
        <v>46128</v>
      </c>
      <c r="B1064" t="s">
        <v>94</v>
      </c>
      <c r="C1064" t="s">
        <v>95</v>
      </c>
      <c r="D1064" t="s">
        <v>96</v>
      </c>
      <c r="H1064">
        <v>240000</v>
      </c>
      <c r="I1064">
        <v>240000</v>
      </c>
      <c r="J1064" t="s">
        <v>144</v>
      </c>
    </row>
    <row r="1065" spans="1:10" hidden="1" x14ac:dyDescent="0.25">
      <c r="A1065" s="2">
        <v>46135</v>
      </c>
      <c r="B1065" t="s">
        <v>94</v>
      </c>
      <c r="C1065" t="s">
        <v>95</v>
      </c>
      <c r="D1065" t="s">
        <v>96</v>
      </c>
      <c r="H1065">
        <v>240000</v>
      </c>
      <c r="I1065">
        <v>240000</v>
      </c>
      <c r="J1065" t="s">
        <v>144</v>
      </c>
    </row>
    <row r="1066" spans="1:10" hidden="1" x14ac:dyDescent="0.25">
      <c r="A1066" s="2">
        <v>46142</v>
      </c>
      <c r="B1066" t="s">
        <v>94</v>
      </c>
      <c r="C1066" t="s">
        <v>95</v>
      </c>
      <c r="D1066" t="s">
        <v>96</v>
      </c>
      <c r="H1066">
        <v>240000</v>
      </c>
      <c r="I1066">
        <v>240000</v>
      </c>
      <c r="J1066" t="s">
        <v>144</v>
      </c>
    </row>
    <row r="1067" spans="1:10" hidden="1" x14ac:dyDescent="0.25">
      <c r="A1067" s="2">
        <v>46149</v>
      </c>
      <c r="B1067" t="s">
        <v>94</v>
      </c>
      <c r="C1067" t="s">
        <v>95</v>
      </c>
      <c r="D1067" t="s">
        <v>96</v>
      </c>
      <c r="H1067">
        <v>240000</v>
      </c>
      <c r="I1067">
        <v>240000</v>
      </c>
      <c r="J1067" t="s">
        <v>144</v>
      </c>
    </row>
    <row r="1068" spans="1:10" hidden="1" x14ac:dyDescent="0.25">
      <c r="A1068" s="2">
        <v>46156</v>
      </c>
      <c r="B1068" t="s">
        <v>94</v>
      </c>
      <c r="C1068" t="s">
        <v>95</v>
      </c>
      <c r="D1068" t="s">
        <v>96</v>
      </c>
      <c r="H1068">
        <v>240000</v>
      </c>
      <c r="I1068">
        <v>240000</v>
      </c>
      <c r="J1068" t="s">
        <v>144</v>
      </c>
    </row>
    <row r="1069" spans="1:10" hidden="1" x14ac:dyDescent="0.25">
      <c r="A1069" s="2">
        <v>46163</v>
      </c>
      <c r="B1069" t="s">
        <v>94</v>
      </c>
      <c r="C1069" t="s">
        <v>95</v>
      </c>
      <c r="D1069" t="s">
        <v>96</v>
      </c>
      <c r="H1069">
        <v>240000</v>
      </c>
      <c r="I1069">
        <v>240000</v>
      </c>
      <c r="J1069" t="s">
        <v>144</v>
      </c>
    </row>
    <row r="1070" spans="1:10" hidden="1" x14ac:dyDescent="0.25">
      <c r="A1070" s="2">
        <v>46170</v>
      </c>
      <c r="B1070" t="s">
        <v>94</v>
      </c>
      <c r="C1070" t="s">
        <v>95</v>
      </c>
      <c r="D1070" t="s">
        <v>96</v>
      </c>
      <c r="H1070">
        <v>240000</v>
      </c>
      <c r="I1070">
        <v>240000</v>
      </c>
      <c r="J1070" t="s">
        <v>144</v>
      </c>
    </row>
    <row r="1071" spans="1:10" hidden="1" x14ac:dyDescent="0.25">
      <c r="A1071" s="2">
        <v>46177</v>
      </c>
      <c r="B1071" t="s">
        <v>94</v>
      </c>
      <c r="C1071" t="s">
        <v>95</v>
      </c>
      <c r="D1071" t="s">
        <v>96</v>
      </c>
      <c r="H1071">
        <v>240000</v>
      </c>
      <c r="I1071">
        <v>240000</v>
      </c>
      <c r="J1071" t="s">
        <v>144</v>
      </c>
    </row>
    <row r="1072" spans="1:10" hidden="1" x14ac:dyDescent="0.25">
      <c r="A1072" s="2">
        <v>46184</v>
      </c>
      <c r="B1072" t="s">
        <v>94</v>
      </c>
      <c r="C1072" t="s">
        <v>95</v>
      </c>
      <c r="D1072" t="s">
        <v>96</v>
      </c>
      <c r="H1072">
        <v>240000</v>
      </c>
      <c r="I1072">
        <v>240000</v>
      </c>
      <c r="J1072" t="s">
        <v>144</v>
      </c>
    </row>
    <row r="1073" spans="1:10" hidden="1" x14ac:dyDescent="0.25">
      <c r="A1073" s="2">
        <v>46191</v>
      </c>
      <c r="B1073" t="s">
        <v>94</v>
      </c>
      <c r="C1073" t="s">
        <v>95</v>
      </c>
      <c r="D1073" t="s">
        <v>96</v>
      </c>
      <c r="H1073">
        <v>240000</v>
      </c>
      <c r="I1073">
        <v>240000</v>
      </c>
      <c r="J1073" t="s">
        <v>144</v>
      </c>
    </row>
    <row r="1074" spans="1:10" hidden="1" x14ac:dyDescent="0.25">
      <c r="A1074" s="2">
        <v>46198</v>
      </c>
      <c r="B1074" t="s">
        <v>94</v>
      </c>
      <c r="C1074" t="s">
        <v>95</v>
      </c>
      <c r="D1074" t="s">
        <v>96</v>
      </c>
      <c r="H1074">
        <v>240000</v>
      </c>
      <c r="I1074">
        <v>240000</v>
      </c>
      <c r="J1074" t="s">
        <v>144</v>
      </c>
    </row>
    <row r="1075" spans="1:10" hidden="1" x14ac:dyDescent="0.25">
      <c r="A1075" s="2">
        <v>46205</v>
      </c>
      <c r="B1075" t="s">
        <v>94</v>
      </c>
      <c r="C1075" t="s">
        <v>95</v>
      </c>
      <c r="D1075" t="s">
        <v>96</v>
      </c>
      <c r="H1075">
        <v>240000</v>
      </c>
      <c r="I1075">
        <v>240000</v>
      </c>
      <c r="J1075" t="s">
        <v>144</v>
      </c>
    </row>
    <row r="1076" spans="1:10" hidden="1" x14ac:dyDescent="0.25">
      <c r="A1076" s="2">
        <v>46212</v>
      </c>
      <c r="B1076" t="s">
        <v>94</v>
      </c>
      <c r="C1076" t="s">
        <v>95</v>
      </c>
      <c r="D1076" t="s">
        <v>96</v>
      </c>
      <c r="H1076">
        <v>240000</v>
      </c>
      <c r="I1076">
        <v>240000</v>
      </c>
      <c r="J1076" t="s">
        <v>144</v>
      </c>
    </row>
    <row r="1077" spans="1:10" hidden="1" x14ac:dyDescent="0.25">
      <c r="A1077" s="2">
        <v>46219</v>
      </c>
      <c r="B1077" t="s">
        <v>94</v>
      </c>
      <c r="C1077" t="s">
        <v>95</v>
      </c>
      <c r="D1077" t="s">
        <v>96</v>
      </c>
      <c r="H1077">
        <v>240000</v>
      </c>
      <c r="I1077">
        <v>240000</v>
      </c>
      <c r="J1077" t="s">
        <v>144</v>
      </c>
    </row>
    <row r="1078" spans="1:10" hidden="1" x14ac:dyDescent="0.25">
      <c r="A1078" s="2">
        <v>46027</v>
      </c>
      <c r="B1078" t="s">
        <v>98</v>
      </c>
      <c r="C1078" t="s">
        <v>99</v>
      </c>
      <c r="D1078" t="s">
        <v>100</v>
      </c>
      <c r="H1078">
        <v>240000</v>
      </c>
      <c r="I1078">
        <v>240000</v>
      </c>
      <c r="J1078" t="s">
        <v>144</v>
      </c>
    </row>
    <row r="1079" spans="1:10" hidden="1" x14ac:dyDescent="0.25">
      <c r="A1079" s="2">
        <v>46035</v>
      </c>
      <c r="B1079" t="s">
        <v>98</v>
      </c>
      <c r="C1079" t="s">
        <v>99</v>
      </c>
      <c r="D1079" t="s">
        <v>100</v>
      </c>
      <c r="H1079">
        <v>240000</v>
      </c>
      <c r="I1079">
        <v>240000</v>
      </c>
      <c r="J1079" t="s">
        <v>144</v>
      </c>
    </row>
    <row r="1080" spans="1:10" hidden="1" x14ac:dyDescent="0.25">
      <c r="A1080" s="2">
        <v>46043</v>
      </c>
      <c r="B1080" t="s">
        <v>98</v>
      </c>
      <c r="C1080" t="s">
        <v>99</v>
      </c>
      <c r="D1080" t="s">
        <v>100</v>
      </c>
      <c r="H1080">
        <v>240000</v>
      </c>
      <c r="I1080">
        <v>240000</v>
      </c>
      <c r="J1080" t="s">
        <v>144</v>
      </c>
    </row>
    <row r="1081" spans="1:10" hidden="1" x14ac:dyDescent="0.25">
      <c r="A1081" s="2">
        <v>46051</v>
      </c>
      <c r="B1081" t="s">
        <v>98</v>
      </c>
      <c r="C1081" t="s">
        <v>99</v>
      </c>
      <c r="D1081" t="s">
        <v>100</v>
      </c>
      <c r="H1081">
        <v>240000</v>
      </c>
      <c r="I1081">
        <v>240000</v>
      </c>
      <c r="J1081" t="s">
        <v>144</v>
      </c>
    </row>
    <row r="1082" spans="1:10" hidden="1" x14ac:dyDescent="0.25">
      <c r="A1082" s="2">
        <v>46059</v>
      </c>
      <c r="B1082" t="s">
        <v>98</v>
      </c>
      <c r="C1082" t="s">
        <v>99</v>
      </c>
      <c r="D1082" t="s">
        <v>100</v>
      </c>
      <c r="H1082">
        <v>240000</v>
      </c>
      <c r="I1082">
        <v>240000</v>
      </c>
      <c r="J1082" t="s">
        <v>144</v>
      </c>
    </row>
    <row r="1083" spans="1:10" hidden="1" x14ac:dyDescent="0.25">
      <c r="A1083" s="2">
        <v>46067</v>
      </c>
      <c r="B1083" t="s">
        <v>98</v>
      </c>
      <c r="C1083" t="s">
        <v>99</v>
      </c>
      <c r="D1083" t="s">
        <v>100</v>
      </c>
      <c r="H1083">
        <v>240000</v>
      </c>
      <c r="I1083">
        <v>240000</v>
      </c>
      <c r="J1083" t="s">
        <v>144</v>
      </c>
    </row>
    <row r="1084" spans="1:10" hidden="1" x14ac:dyDescent="0.25">
      <c r="A1084" s="2">
        <v>46075</v>
      </c>
      <c r="B1084" t="s">
        <v>98</v>
      </c>
      <c r="C1084" t="s">
        <v>99</v>
      </c>
      <c r="D1084" t="s">
        <v>100</v>
      </c>
      <c r="H1084">
        <v>240000</v>
      </c>
      <c r="I1084">
        <v>240000</v>
      </c>
      <c r="J1084" t="s">
        <v>144</v>
      </c>
    </row>
    <row r="1085" spans="1:10" hidden="1" x14ac:dyDescent="0.25">
      <c r="A1085" s="2">
        <v>46083</v>
      </c>
      <c r="B1085" t="s">
        <v>98</v>
      </c>
      <c r="C1085" t="s">
        <v>99</v>
      </c>
      <c r="D1085" t="s">
        <v>100</v>
      </c>
      <c r="H1085">
        <v>240000</v>
      </c>
      <c r="I1085">
        <v>240000</v>
      </c>
      <c r="J1085" t="s">
        <v>144</v>
      </c>
    </row>
    <row r="1086" spans="1:10" hidden="1" x14ac:dyDescent="0.25">
      <c r="A1086" s="2">
        <v>46091</v>
      </c>
      <c r="B1086" t="s">
        <v>98</v>
      </c>
      <c r="C1086" t="s">
        <v>99</v>
      </c>
      <c r="D1086" t="s">
        <v>100</v>
      </c>
      <c r="H1086">
        <v>240000</v>
      </c>
      <c r="I1086">
        <v>240000</v>
      </c>
      <c r="J1086" t="s">
        <v>144</v>
      </c>
    </row>
    <row r="1087" spans="1:10" hidden="1" x14ac:dyDescent="0.25">
      <c r="A1087" s="2">
        <v>46099</v>
      </c>
      <c r="B1087" t="s">
        <v>98</v>
      </c>
      <c r="C1087" t="s">
        <v>99</v>
      </c>
      <c r="D1087" t="s">
        <v>100</v>
      </c>
      <c r="H1087">
        <v>240000</v>
      </c>
      <c r="I1087">
        <v>240000</v>
      </c>
      <c r="J1087" t="s">
        <v>144</v>
      </c>
    </row>
    <row r="1088" spans="1:10" hidden="1" x14ac:dyDescent="0.25">
      <c r="A1088" s="2">
        <v>46107</v>
      </c>
      <c r="B1088" t="s">
        <v>98</v>
      </c>
      <c r="C1088" t="s">
        <v>99</v>
      </c>
      <c r="D1088" t="s">
        <v>100</v>
      </c>
      <c r="H1088">
        <v>240000</v>
      </c>
      <c r="I1088">
        <v>240000</v>
      </c>
      <c r="J1088" t="s">
        <v>144</v>
      </c>
    </row>
    <row r="1089" spans="1:10" hidden="1" x14ac:dyDescent="0.25">
      <c r="A1089" s="2">
        <v>46115</v>
      </c>
      <c r="B1089" t="s">
        <v>98</v>
      </c>
      <c r="C1089" t="s">
        <v>99</v>
      </c>
      <c r="D1089" t="s">
        <v>100</v>
      </c>
      <c r="H1089">
        <v>240000</v>
      </c>
      <c r="I1089">
        <v>240000</v>
      </c>
      <c r="J1089" t="s">
        <v>144</v>
      </c>
    </row>
    <row r="1090" spans="1:10" hidden="1" x14ac:dyDescent="0.25">
      <c r="A1090" s="2">
        <v>46123</v>
      </c>
      <c r="B1090" t="s">
        <v>98</v>
      </c>
      <c r="C1090" t="s">
        <v>99</v>
      </c>
      <c r="D1090" t="s">
        <v>100</v>
      </c>
      <c r="H1090">
        <v>240000</v>
      </c>
      <c r="I1090">
        <v>240000</v>
      </c>
      <c r="J1090" t="s">
        <v>144</v>
      </c>
    </row>
    <row r="1091" spans="1:10" hidden="1" x14ac:dyDescent="0.25">
      <c r="A1091" s="2">
        <v>46131</v>
      </c>
      <c r="B1091" t="s">
        <v>98</v>
      </c>
      <c r="C1091" t="s">
        <v>99</v>
      </c>
      <c r="D1091" t="s">
        <v>100</v>
      </c>
      <c r="H1091">
        <v>240000</v>
      </c>
      <c r="I1091">
        <v>240000</v>
      </c>
      <c r="J1091" t="s">
        <v>144</v>
      </c>
    </row>
    <row r="1092" spans="1:10" hidden="1" x14ac:dyDescent="0.25">
      <c r="A1092" s="2">
        <v>46065</v>
      </c>
      <c r="B1092" t="s">
        <v>102</v>
      </c>
      <c r="C1092" t="s">
        <v>103</v>
      </c>
      <c r="D1092" t="s">
        <v>104</v>
      </c>
      <c r="H1092">
        <v>240000</v>
      </c>
      <c r="I1092">
        <v>240000</v>
      </c>
      <c r="J1092" t="s">
        <v>144</v>
      </c>
    </row>
    <row r="1093" spans="1:10" hidden="1" x14ac:dyDescent="0.25">
      <c r="A1093" s="2">
        <v>46077</v>
      </c>
      <c r="B1093" t="s">
        <v>102</v>
      </c>
      <c r="C1093" t="s">
        <v>103</v>
      </c>
      <c r="D1093" t="s">
        <v>104</v>
      </c>
      <c r="H1093">
        <v>240000</v>
      </c>
      <c r="I1093">
        <v>240000</v>
      </c>
      <c r="J1093" t="s">
        <v>144</v>
      </c>
    </row>
    <row r="1094" spans="1:10" hidden="1" x14ac:dyDescent="0.25">
      <c r="A1094" s="2">
        <v>46086</v>
      </c>
      <c r="B1094" t="s">
        <v>102</v>
      </c>
      <c r="C1094" t="s">
        <v>103</v>
      </c>
      <c r="D1094" t="s">
        <v>104</v>
      </c>
      <c r="H1094">
        <v>240000</v>
      </c>
      <c r="I1094">
        <v>240000</v>
      </c>
      <c r="J1094" t="s">
        <v>144</v>
      </c>
    </row>
    <row r="1095" spans="1:10" hidden="1" x14ac:dyDescent="0.25">
      <c r="A1095" s="2">
        <v>46090</v>
      </c>
      <c r="B1095" t="s">
        <v>102</v>
      </c>
      <c r="C1095" t="s">
        <v>103</v>
      </c>
      <c r="D1095" t="s">
        <v>104</v>
      </c>
      <c r="H1095">
        <v>240000</v>
      </c>
      <c r="I1095">
        <v>240000</v>
      </c>
      <c r="J1095" t="s">
        <v>144</v>
      </c>
    </row>
    <row r="1096" spans="1:10" hidden="1" x14ac:dyDescent="0.25">
      <c r="A1096" s="2">
        <v>46097</v>
      </c>
      <c r="B1096" t="s">
        <v>102</v>
      </c>
      <c r="C1096" t="s">
        <v>103</v>
      </c>
      <c r="D1096" t="s">
        <v>104</v>
      </c>
      <c r="H1096">
        <v>240000</v>
      </c>
      <c r="I1096">
        <v>240000</v>
      </c>
      <c r="J1096" t="s">
        <v>144</v>
      </c>
    </row>
    <row r="1097" spans="1:10" hidden="1" x14ac:dyDescent="0.25">
      <c r="A1097" s="2">
        <v>46106</v>
      </c>
      <c r="B1097" t="s">
        <v>102</v>
      </c>
      <c r="C1097" t="s">
        <v>103</v>
      </c>
      <c r="D1097" t="s">
        <v>104</v>
      </c>
      <c r="H1097">
        <v>240000</v>
      </c>
      <c r="I1097">
        <v>240000</v>
      </c>
      <c r="J1097" t="s">
        <v>144</v>
      </c>
    </row>
    <row r="1098" spans="1:10" hidden="1" x14ac:dyDescent="0.25">
      <c r="A1098" s="2">
        <v>46118</v>
      </c>
      <c r="B1098" t="s">
        <v>102</v>
      </c>
      <c r="C1098" t="s">
        <v>103</v>
      </c>
      <c r="D1098" t="s">
        <v>104</v>
      </c>
      <c r="H1098">
        <v>240000</v>
      </c>
      <c r="I1098">
        <v>240000</v>
      </c>
      <c r="J1098" t="s">
        <v>144</v>
      </c>
    </row>
    <row r="1099" spans="1:10" hidden="1" x14ac:dyDescent="0.25">
      <c r="A1099" s="2">
        <v>46126</v>
      </c>
      <c r="B1099" t="s">
        <v>102</v>
      </c>
      <c r="C1099" t="s">
        <v>103</v>
      </c>
      <c r="D1099" t="s">
        <v>104</v>
      </c>
      <c r="H1099">
        <v>240000</v>
      </c>
      <c r="I1099">
        <v>240000</v>
      </c>
      <c r="J1099" t="s">
        <v>144</v>
      </c>
    </row>
    <row r="1100" spans="1:10" hidden="1" x14ac:dyDescent="0.25">
      <c r="A1100" s="2">
        <v>46137</v>
      </c>
      <c r="B1100" t="s">
        <v>102</v>
      </c>
      <c r="C1100" t="s">
        <v>103</v>
      </c>
      <c r="D1100" t="s">
        <v>104</v>
      </c>
      <c r="H1100">
        <v>240000</v>
      </c>
      <c r="I1100">
        <v>240000</v>
      </c>
      <c r="J1100" t="s">
        <v>144</v>
      </c>
    </row>
    <row r="1101" spans="1:10" hidden="1" x14ac:dyDescent="0.25">
      <c r="A1101" s="2">
        <v>46146</v>
      </c>
      <c r="B1101" t="s">
        <v>102</v>
      </c>
      <c r="C1101" t="s">
        <v>103</v>
      </c>
      <c r="D1101" t="s">
        <v>104</v>
      </c>
      <c r="H1101">
        <v>240000</v>
      </c>
      <c r="I1101">
        <v>240000</v>
      </c>
      <c r="J1101" t="s">
        <v>144</v>
      </c>
    </row>
    <row r="1102" spans="1:10" hidden="1" x14ac:dyDescent="0.25">
      <c r="A1102" s="2">
        <v>46161</v>
      </c>
      <c r="B1102" t="s">
        <v>102</v>
      </c>
      <c r="C1102" t="s">
        <v>103</v>
      </c>
      <c r="D1102" t="s">
        <v>104</v>
      </c>
      <c r="H1102">
        <v>240000</v>
      </c>
      <c r="I1102">
        <v>240000</v>
      </c>
      <c r="J1102" t="s">
        <v>144</v>
      </c>
    </row>
    <row r="1103" spans="1:10" hidden="1" x14ac:dyDescent="0.25">
      <c r="A1103" s="2">
        <v>46171</v>
      </c>
      <c r="B1103" t="s">
        <v>102</v>
      </c>
      <c r="C1103" t="s">
        <v>103</v>
      </c>
      <c r="D1103" t="s">
        <v>104</v>
      </c>
      <c r="H1103">
        <v>240000</v>
      </c>
      <c r="I1103">
        <v>240000</v>
      </c>
      <c r="J1103" t="s">
        <v>144</v>
      </c>
    </row>
    <row r="1104" spans="1:10" hidden="1" x14ac:dyDescent="0.25">
      <c r="A1104" s="2">
        <v>46181</v>
      </c>
      <c r="B1104" t="s">
        <v>102</v>
      </c>
      <c r="C1104" t="s">
        <v>103</v>
      </c>
      <c r="D1104" t="s">
        <v>104</v>
      </c>
      <c r="H1104">
        <v>240000</v>
      </c>
      <c r="I1104">
        <v>240000</v>
      </c>
      <c r="J1104" t="s">
        <v>144</v>
      </c>
    </row>
    <row r="1105" spans="1:10" hidden="1" x14ac:dyDescent="0.25">
      <c r="A1105" s="2">
        <v>46190</v>
      </c>
      <c r="B1105" t="s">
        <v>102</v>
      </c>
      <c r="C1105" t="s">
        <v>103</v>
      </c>
      <c r="D1105" t="s">
        <v>104</v>
      </c>
      <c r="H1105">
        <v>240000</v>
      </c>
      <c r="I1105">
        <v>240000</v>
      </c>
      <c r="J1105" t="s">
        <v>144</v>
      </c>
    </row>
    <row r="1106" spans="1:10" hidden="1" x14ac:dyDescent="0.25">
      <c r="A1106" s="2">
        <v>46198</v>
      </c>
      <c r="B1106" t="s">
        <v>102</v>
      </c>
      <c r="C1106" t="s">
        <v>103</v>
      </c>
      <c r="D1106" t="s">
        <v>104</v>
      </c>
      <c r="H1106">
        <v>240000</v>
      </c>
      <c r="I1106">
        <v>240000</v>
      </c>
      <c r="J1106" t="s">
        <v>144</v>
      </c>
    </row>
    <row r="1107" spans="1:10" hidden="1" x14ac:dyDescent="0.25">
      <c r="A1107" s="2">
        <v>46208</v>
      </c>
      <c r="B1107" t="s">
        <v>102</v>
      </c>
      <c r="C1107" t="s">
        <v>103</v>
      </c>
      <c r="D1107" t="s">
        <v>104</v>
      </c>
      <c r="H1107">
        <v>240000</v>
      </c>
      <c r="I1107">
        <v>240000</v>
      </c>
      <c r="J1107" t="s">
        <v>144</v>
      </c>
    </row>
    <row r="1108" spans="1:10" hidden="1" x14ac:dyDescent="0.25">
      <c r="A1108" s="2">
        <v>46211</v>
      </c>
      <c r="B1108" t="s">
        <v>102</v>
      </c>
      <c r="C1108" t="s">
        <v>103</v>
      </c>
      <c r="D1108" t="s">
        <v>104</v>
      </c>
      <c r="H1108">
        <v>240000</v>
      </c>
      <c r="I1108">
        <v>240000</v>
      </c>
      <c r="J1108" t="s">
        <v>144</v>
      </c>
    </row>
    <row r="1109" spans="1:10" hidden="1" x14ac:dyDescent="0.25">
      <c r="A1109" s="2">
        <v>46224</v>
      </c>
      <c r="B1109" t="s">
        <v>102</v>
      </c>
      <c r="C1109" t="s">
        <v>103</v>
      </c>
      <c r="D1109" t="s">
        <v>104</v>
      </c>
      <c r="H1109">
        <v>240000</v>
      </c>
      <c r="I1109">
        <v>240000</v>
      </c>
      <c r="J1109" t="s">
        <v>144</v>
      </c>
    </row>
    <row r="1110" spans="1:10" hidden="1" x14ac:dyDescent="0.25">
      <c r="A1110" s="2">
        <v>46069</v>
      </c>
      <c r="B1110" t="s">
        <v>106</v>
      </c>
      <c r="C1110" t="s">
        <v>107</v>
      </c>
      <c r="D1110" t="s">
        <v>108</v>
      </c>
      <c r="H1110">
        <v>240000</v>
      </c>
      <c r="I1110">
        <v>240000</v>
      </c>
      <c r="J1110" t="s">
        <v>144</v>
      </c>
    </row>
    <row r="1111" spans="1:10" hidden="1" x14ac:dyDescent="0.25">
      <c r="A1111" s="2">
        <v>46077</v>
      </c>
      <c r="B1111" t="s">
        <v>106</v>
      </c>
      <c r="C1111" t="s">
        <v>107</v>
      </c>
      <c r="D1111" t="s">
        <v>108</v>
      </c>
      <c r="H1111">
        <v>240000</v>
      </c>
      <c r="I1111">
        <v>240000</v>
      </c>
      <c r="J1111" t="s">
        <v>144</v>
      </c>
    </row>
    <row r="1112" spans="1:10" hidden="1" x14ac:dyDescent="0.25">
      <c r="A1112" s="2">
        <v>46082</v>
      </c>
      <c r="B1112" t="s">
        <v>106</v>
      </c>
      <c r="C1112" t="s">
        <v>107</v>
      </c>
      <c r="D1112" t="s">
        <v>108</v>
      </c>
      <c r="H1112">
        <v>240000</v>
      </c>
      <c r="I1112">
        <v>240000</v>
      </c>
      <c r="J1112" t="s">
        <v>144</v>
      </c>
    </row>
    <row r="1113" spans="1:10" hidden="1" x14ac:dyDescent="0.25">
      <c r="A1113" s="2">
        <v>46090</v>
      </c>
      <c r="B1113" t="s">
        <v>106</v>
      </c>
      <c r="C1113" t="s">
        <v>107</v>
      </c>
      <c r="D1113" t="s">
        <v>108</v>
      </c>
      <c r="H1113">
        <v>240000</v>
      </c>
      <c r="I1113">
        <v>240000</v>
      </c>
      <c r="J1113" t="s">
        <v>144</v>
      </c>
    </row>
    <row r="1114" spans="1:10" hidden="1" x14ac:dyDescent="0.25">
      <c r="A1114" s="2">
        <v>46098</v>
      </c>
      <c r="B1114" t="s">
        <v>106</v>
      </c>
      <c r="C1114" t="s">
        <v>107</v>
      </c>
      <c r="D1114" t="s">
        <v>108</v>
      </c>
      <c r="H1114">
        <v>240000</v>
      </c>
      <c r="I1114">
        <v>240000</v>
      </c>
      <c r="J1114" t="s">
        <v>144</v>
      </c>
    </row>
    <row r="1115" spans="1:10" hidden="1" x14ac:dyDescent="0.25">
      <c r="A1115" s="2">
        <v>46105</v>
      </c>
      <c r="B1115" t="s">
        <v>106</v>
      </c>
      <c r="C1115" t="s">
        <v>107</v>
      </c>
      <c r="D1115" t="s">
        <v>108</v>
      </c>
      <c r="H1115">
        <v>240000</v>
      </c>
      <c r="I1115">
        <v>240000</v>
      </c>
      <c r="J1115" t="s">
        <v>144</v>
      </c>
    </row>
    <row r="1116" spans="1:10" hidden="1" x14ac:dyDescent="0.25">
      <c r="A1116" s="2">
        <v>46115</v>
      </c>
      <c r="B1116" t="s">
        <v>106</v>
      </c>
      <c r="C1116" t="s">
        <v>107</v>
      </c>
      <c r="D1116" t="s">
        <v>108</v>
      </c>
      <c r="H1116">
        <v>240000</v>
      </c>
      <c r="I1116">
        <v>240000</v>
      </c>
      <c r="J1116" t="s">
        <v>144</v>
      </c>
    </row>
    <row r="1117" spans="1:10" hidden="1" x14ac:dyDescent="0.25">
      <c r="A1117" s="2">
        <v>46126</v>
      </c>
      <c r="B1117" t="s">
        <v>106</v>
      </c>
      <c r="C1117" t="s">
        <v>107</v>
      </c>
      <c r="D1117" t="s">
        <v>108</v>
      </c>
      <c r="H1117">
        <v>240000</v>
      </c>
      <c r="I1117">
        <v>240000</v>
      </c>
      <c r="J1117" t="s">
        <v>144</v>
      </c>
    </row>
    <row r="1118" spans="1:10" hidden="1" x14ac:dyDescent="0.25">
      <c r="A1118" s="2">
        <v>46133</v>
      </c>
      <c r="B1118" t="s">
        <v>106</v>
      </c>
      <c r="C1118" t="s">
        <v>107</v>
      </c>
      <c r="D1118" t="s">
        <v>108</v>
      </c>
      <c r="H1118">
        <v>240000</v>
      </c>
      <c r="I1118">
        <v>240000</v>
      </c>
      <c r="J1118" t="s">
        <v>144</v>
      </c>
    </row>
    <row r="1119" spans="1:10" hidden="1" x14ac:dyDescent="0.25">
      <c r="A1119" s="2">
        <v>46174</v>
      </c>
      <c r="B1119" t="s">
        <v>106</v>
      </c>
      <c r="C1119" t="s">
        <v>107</v>
      </c>
      <c r="D1119" t="s">
        <v>108</v>
      </c>
      <c r="H1119">
        <v>240000</v>
      </c>
      <c r="I1119">
        <v>240000</v>
      </c>
      <c r="J1119" t="s">
        <v>144</v>
      </c>
    </row>
    <row r="1120" spans="1:10" hidden="1" x14ac:dyDescent="0.25">
      <c r="A1120" s="2">
        <v>46182</v>
      </c>
      <c r="B1120" t="s">
        <v>106</v>
      </c>
      <c r="C1120" t="s">
        <v>107</v>
      </c>
      <c r="D1120" t="s">
        <v>108</v>
      </c>
      <c r="H1120">
        <v>240000</v>
      </c>
      <c r="I1120">
        <v>240000</v>
      </c>
      <c r="J1120" t="s">
        <v>144</v>
      </c>
    </row>
    <row r="1121" spans="1:10" hidden="1" x14ac:dyDescent="0.25">
      <c r="A1121" s="2">
        <v>46189</v>
      </c>
      <c r="B1121" t="s">
        <v>106</v>
      </c>
      <c r="C1121" t="s">
        <v>107</v>
      </c>
      <c r="D1121" t="s">
        <v>108</v>
      </c>
      <c r="H1121">
        <v>240000</v>
      </c>
      <c r="I1121">
        <v>240000</v>
      </c>
      <c r="J1121" t="s">
        <v>144</v>
      </c>
    </row>
    <row r="1122" spans="1:10" hidden="1" x14ac:dyDescent="0.25">
      <c r="A1122" s="2">
        <v>46197</v>
      </c>
      <c r="B1122" t="s">
        <v>106</v>
      </c>
      <c r="C1122" t="s">
        <v>107</v>
      </c>
      <c r="D1122" t="s">
        <v>108</v>
      </c>
      <c r="H1122">
        <v>240000</v>
      </c>
      <c r="I1122">
        <v>240000</v>
      </c>
      <c r="J1122" t="s">
        <v>144</v>
      </c>
    </row>
    <row r="1123" spans="1:10" hidden="1" x14ac:dyDescent="0.25">
      <c r="A1123" s="2">
        <v>46204</v>
      </c>
      <c r="B1123" t="s">
        <v>106</v>
      </c>
      <c r="C1123" t="s">
        <v>107</v>
      </c>
      <c r="D1123" t="s">
        <v>108</v>
      </c>
      <c r="H1123">
        <v>240000</v>
      </c>
      <c r="I1123">
        <v>240000</v>
      </c>
      <c r="J1123" t="s">
        <v>144</v>
      </c>
    </row>
    <row r="1124" spans="1:10" hidden="1" x14ac:dyDescent="0.25">
      <c r="A1124" s="2">
        <v>46213</v>
      </c>
      <c r="B1124" t="s">
        <v>106</v>
      </c>
      <c r="C1124" t="s">
        <v>107</v>
      </c>
      <c r="D1124" t="s">
        <v>108</v>
      </c>
      <c r="H1124">
        <v>240000</v>
      </c>
      <c r="I1124">
        <v>240000</v>
      </c>
      <c r="J1124" t="s">
        <v>144</v>
      </c>
    </row>
    <row r="1125" spans="1:10" hidden="1" x14ac:dyDescent="0.25">
      <c r="A1125" s="2">
        <v>46224</v>
      </c>
      <c r="B1125" t="s">
        <v>106</v>
      </c>
      <c r="C1125" t="s">
        <v>107</v>
      </c>
      <c r="D1125" t="s">
        <v>108</v>
      </c>
      <c r="H1125">
        <v>240000</v>
      </c>
      <c r="I1125">
        <v>240000</v>
      </c>
      <c r="J1125" t="s">
        <v>144</v>
      </c>
    </row>
    <row r="1126" spans="1:10" hidden="1" x14ac:dyDescent="0.25">
      <c r="A1126" s="2">
        <v>46086</v>
      </c>
      <c r="B1126" t="s">
        <v>110</v>
      </c>
      <c r="C1126" t="s">
        <v>111</v>
      </c>
      <c r="D1126" t="s">
        <v>112</v>
      </c>
      <c r="H1126">
        <v>420000</v>
      </c>
      <c r="I1126">
        <v>420000</v>
      </c>
      <c r="J1126" t="s">
        <v>144</v>
      </c>
    </row>
    <row r="1127" spans="1:10" hidden="1" x14ac:dyDescent="0.25">
      <c r="A1127" s="2">
        <v>46117</v>
      </c>
      <c r="B1127" t="s">
        <v>110</v>
      </c>
      <c r="C1127" t="s">
        <v>111</v>
      </c>
      <c r="D1127" t="s">
        <v>112</v>
      </c>
      <c r="H1127">
        <v>420000</v>
      </c>
      <c r="I1127">
        <v>420000</v>
      </c>
      <c r="J1127" t="s">
        <v>144</v>
      </c>
    </row>
    <row r="1128" spans="1:10" hidden="1" x14ac:dyDescent="0.25">
      <c r="A1128" s="2">
        <v>46147</v>
      </c>
      <c r="B1128" t="s">
        <v>110</v>
      </c>
      <c r="C1128" t="s">
        <v>111</v>
      </c>
      <c r="D1128" t="s">
        <v>112</v>
      </c>
      <c r="H1128">
        <v>420000</v>
      </c>
      <c r="I1128">
        <v>420000</v>
      </c>
      <c r="J1128" t="s">
        <v>144</v>
      </c>
    </row>
    <row r="1129" spans="1:10" hidden="1" x14ac:dyDescent="0.25">
      <c r="A1129" s="2">
        <v>46175</v>
      </c>
      <c r="B1129" t="s">
        <v>110</v>
      </c>
      <c r="C1129" t="s">
        <v>111</v>
      </c>
      <c r="D1129" t="s">
        <v>112</v>
      </c>
      <c r="H1129">
        <v>420000</v>
      </c>
      <c r="I1129">
        <v>420000</v>
      </c>
      <c r="J1129" t="s">
        <v>144</v>
      </c>
    </row>
    <row r="1130" spans="1:10" hidden="1" x14ac:dyDescent="0.25">
      <c r="A1130" s="2">
        <v>46123</v>
      </c>
      <c r="B1130" t="s">
        <v>114</v>
      </c>
      <c r="C1130" t="s">
        <v>115</v>
      </c>
      <c r="D1130" t="s">
        <v>116</v>
      </c>
      <c r="H1130">
        <v>240000</v>
      </c>
      <c r="I1130">
        <v>240000</v>
      </c>
      <c r="J1130" t="s">
        <v>144</v>
      </c>
    </row>
    <row r="1131" spans="1:10" hidden="1" x14ac:dyDescent="0.25">
      <c r="A1131" s="2">
        <v>46135</v>
      </c>
      <c r="B1131" t="s">
        <v>114</v>
      </c>
      <c r="C1131" t="s">
        <v>115</v>
      </c>
      <c r="D1131" t="s">
        <v>116</v>
      </c>
      <c r="H1131">
        <v>240000</v>
      </c>
      <c r="I1131">
        <v>240000</v>
      </c>
      <c r="J1131" t="s">
        <v>144</v>
      </c>
    </row>
    <row r="1132" spans="1:10" hidden="1" x14ac:dyDescent="0.25">
      <c r="A1132" s="2">
        <v>46144</v>
      </c>
      <c r="B1132" t="s">
        <v>114</v>
      </c>
      <c r="C1132" t="s">
        <v>115</v>
      </c>
      <c r="D1132" t="s">
        <v>116</v>
      </c>
      <c r="H1132">
        <v>240000</v>
      </c>
      <c r="I1132">
        <v>240000</v>
      </c>
      <c r="J1132" t="s">
        <v>144</v>
      </c>
    </row>
    <row r="1133" spans="1:10" hidden="1" x14ac:dyDescent="0.25">
      <c r="A1133" s="2">
        <v>46151</v>
      </c>
      <c r="B1133" t="s">
        <v>114</v>
      </c>
      <c r="C1133" t="s">
        <v>115</v>
      </c>
      <c r="D1133" t="s">
        <v>116</v>
      </c>
      <c r="H1133">
        <v>240000</v>
      </c>
      <c r="I1133">
        <v>240000</v>
      </c>
      <c r="J1133" t="s">
        <v>144</v>
      </c>
    </row>
    <row r="1134" spans="1:10" hidden="1" x14ac:dyDescent="0.25">
      <c r="A1134" s="2">
        <v>46158</v>
      </c>
      <c r="B1134" t="s">
        <v>114</v>
      </c>
      <c r="C1134" t="s">
        <v>115</v>
      </c>
      <c r="D1134" t="s">
        <v>116</v>
      </c>
      <c r="H1134">
        <v>240000</v>
      </c>
      <c r="I1134">
        <v>240000</v>
      </c>
      <c r="J1134" t="s">
        <v>144</v>
      </c>
    </row>
    <row r="1135" spans="1:10" hidden="1" x14ac:dyDescent="0.25">
      <c r="A1135" s="2">
        <v>46166</v>
      </c>
      <c r="B1135" t="s">
        <v>114</v>
      </c>
      <c r="C1135" t="s">
        <v>115</v>
      </c>
      <c r="D1135" t="s">
        <v>116</v>
      </c>
      <c r="H1135">
        <v>240000</v>
      </c>
      <c r="I1135">
        <v>240000</v>
      </c>
      <c r="J1135" t="s">
        <v>144</v>
      </c>
    </row>
    <row r="1136" spans="1:10" hidden="1" x14ac:dyDescent="0.25">
      <c r="A1136" s="2">
        <v>46174</v>
      </c>
      <c r="B1136" t="s">
        <v>114</v>
      </c>
      <c r="C1136" t="s">
        <v>115</v>
      </c>
      <c r="D1136" t="s">
        <v>116</v>
      </c>
      <c r="H1136">
        <v>240000</v>
      </c>
      <c r="I1136">
        <v>240000</v>
      </c>
      <c r="J1136" t="s">
        <v>144</v>
      </c>
    </row>
    <row r="1137" spans="1:10" hidden="1" x14ac:dyDescent="0.25">
      <c r="A1137" s="2">
        <v>46182</v>
      </c>
      <c r="B1137" t="s">
        <v>114</v>
      </c>
      <c r="C1137" t="s">
        <v>115</v>
      </c>
      <c r="D1137" t="s">
        <v>116</v>
      </c>
      <c r="H1137">
        <v>240000</v>
      </c>
      <c r="I1137">
        <v>240000</v>
      </c>
      <c r="J1137" t="s">
        <v>144</v>
      </c>
    </row>
    <row r="1138" spans="1:10" hidden="1" x14ac:dyDescent="0.25">
      <c r="A1138" s="2">
        <v>46189</v>
      </c>
      <c r="B1138" t="s">
        <v>114</v>
      </c>
      <c r="C1138" t="s">
        <v>115</v>
      </c>
      <c r="D1138" t="s">
        <v>116</v>
      </c>
      <c r="H1138">
        <v>240000</v>
      </c>
      <c r="I1138">
        <v>240000</v>
      </c>
      <c r="J1138" t="s">
        <v>144</v>
      </c>
    </row>
    <row r="1139" spans="1:10" hidden="1" x14ac:dyDescent="0.25">
      <c r="A1139" s="2">
        <v>46197</v>
      </c>
      <c r="B1139" t="s">
        <v>114</v>
      </c>
      <c r="C1139" t="s">
        <v>115</v>
      </c>
      <c r="D1139" t="s">
        <v>116</v>
      </c>
      <c r="H1139">
        <v>240000</v>
      </c>
      <c r="I1139">
        <v>240000</v>
      </c>
      <c r="J1139" t="s">
        <v>144</v>
      </c>
    </row>
    <row r="1140" spans="1:10" hidden="1" x14ac:dyDescent="0.25">
      <c r="A1140" s="2">
        <v>46204</v>
      </c>
      <c r="B1140" t="s">
        <v>114</v>
      </c>
      <c r="C1140" t="s">
        <v>115</v>
      </c>
      <c r="D1140" t="s">
        <v>116</v>
      </c>
      <c r="H1140">
        <v>240000</v>
      </c>
      <c r="I1140">
        <v>240000</v>
      </c>
      <c r="J1140" t="s">
        <v>144</v>
      </c>
    </row>
    <row r="1141" spans="1:10" hidden="1" x14ac:dyDescent="0.25">
      <c r="A1141" s="2">
        <v>46210</v>
      </c>
      <c r="B1141" t="s">
        <v>114</v>
      </c>
      <c r="C1141" t="s">
        <v>115</v>
      </c>
      <c r="D1141" t="s">
        <v>116</v>
      </c>
      <c r="H1141">
        <v>240000</v>
      </c>
      <c r="I1141">
        <v>240000</v>
      </c>
      <c r="J1141" t="s">
        <v>144</v>
      </c>
    </row>
    <row r="1142" spans="1:10" hidden="1" x14ac:dyDescent="0.25">
      <c r="A1142" s="2">
        <v>46216</v>
      </c>
      <c r="B1142" t="s">
        <v>114</v>
      </c>
      <c r="C1142" t="s">
        <v>115</v>
      </c>
      <c r="D1142" t="s">
        <v>116</v>
      </c>
      <c r="H1142">
        <v>240000</v>
      </c>
      <c r="I1142">
        <v>240000</v>
      </c>
      <c r="J1142" t="s">
        <v>144</v>
      </c>
    </row>
    <row r="1143" spans="1:10" hidden="1" x14ac:dyDescent="0.25">
      <c r="A1143" s="2">
        <v>46158</v>
      </c>
      <c r="B1143" t="s">
        <v>118</v>
      </c>
      <c r="C1143" t="s">
        <v>119</v>
      </c>
      <c r="D1143" t="s">
        <v>120</v>
      </c>
      <c r="H1143">
        <v>240000</v>
      </c>
      <c r="I1143">
        <v>240000</v>
      </c>
      <c r="J1143" t="s">
        <v>144</v>
      </c>
    </row>
    <row r="1144" spans="1:10" hidden="1" x14ac:dyDescent="0.25">
      <c r="A1144" s="2">
        <v>46166</v>
      </c>
      <c r="B1144" t="s">
        <v>118</v>
      </c>
      <c r="C1144" t="s">
        <v>119</v>
      </c>
      <c r="D1144" t="s">
        <v>120</v>
      </c>
      <c r="H1144">
        <v>240000</v>
      </c>
      <c r="I1144">
        <v>240000</v>
      </c>
      <c r="J1144" t="s">
        <v>144</v>
      </c>
    </row>
    <row r="1145" spans="1:10" hidden="1" x14ac:dyDescent="0.25">
      <c r="A1145" s="2">
        <v>46177</v>
      </c>
      <c r="B1145" t="s">
        <v>118</v>
      </c>
      <c r="C1145" t="s">
        <v>119</v>
      </c>
      <c r="D1145" t="s">
        <v>120</v>
      </c>
      <c r="H1145">
        <v>240000</v>
      </c>
      <c r="I1145">
        <v>240000</v>
      </c>
      <c r="J1145" t="s">
        <v>144</v>
      </c>
    </row>
    <row r="1146" spans="1:10" hidden="1" x14ac:dyDescent="0.25">
      <c r="A1146" s="2">
        <v>46191</v>
      </c>
      <c r="B1146" t="s">
        <v>118</v>
      </c>
      <c r="C1146" t="s">
        <v>119</v>
      </c>
      <c r="D1146" t="s">
        <v>120</v>
      </c>
      <c r="H1146">
        <v>240000</v>
      </c>
      <c r="I1146">
        <v>240000</v>
      </c>
      <c r="J1146" t="s">
        <v>144</v>
      </c>
    </row>
    <row r="1147" spans="1:10" hidden="1" x14ac:dyDescent="0.25">
      <c r="A1147" s="2">
        <v>46145</v>
      </c>
      <c r="B1147" t="s">
        <v>122</v>
      </c>
      <c r="C1147" t="s">
        <v>123</v>
      </c>
      <c r="D1147" t="s">
        <v>124</v>
      </c>
      <c r="H1147">
        <v>190000</v>
      </c>
      <c r="I1147">
        <v>190000</v>
      </c>
      <c r="J1147" t="s">
        <v>144</v>
      </c>
    </row>
    <row r="1148" spans="1:10" hidden="1" x14ac:dyDescent="0.25">
      <c r="A1148" s="2">
        <v>46157</v>
      </c>
      <c r="B1148" t="s">
        <v>122</v>
      </c>
      <c r="C1148" t="s">
        <v>123</v>
      </c>
      <c r="D1148" t="s">
        <v>124</v>
      </c>
      <c r="H1148">
        <v>190000</v>
      </c>
      <c r="I1148">
        <v>190000</v>
      </c>
      <c r="J1148" t="s">
        <v>144</v>
      </c>
    </row>
    <row r="1149" spans="1:10" hidden="1" x14ac:dyDescent="0.25">
      <c r="A1149" s="2">
        <v>46172</v>
      </c>
      <c r="B1149" t="s">
        <v>122</v>
      </c>
      <c r="C1149" t="s">
        <v>123</v>
      </c>
      <c r="D1149" t="s">
        <v>124</v>
      </c>
      <c r="H1149">
        <v>190000</v>
      </c>
      <c r="I1149">
        <v>190000</v>
      </c>
      <c r="J1149" t="s">
        <v>144</v>
      </c>
    </row>
    <row r="1150" spans="1:10" hidden="1" x14ac:dyDescent="0.25">
      <c r="A1150" s="2">
        <v>46218</v>
      </c>
      <c r="B1150" t="s">
        <v>122</v>
      </c>
      <c r="C1150" t="s">
        <v>123</v>
      </c>
      <c r="D1150" t="s">
        <v>124</v>
      </c>
      <c r="H1150">
        <v>190000</v>
      </c>
      <c r="I1150">
        <v>190000</v>
      </c>
      <c r="J1150" t="s">
        <v>144</v>
      </c>
    </row>
    <row r="1151" spans="1:10" hidden="1" x14ac:dyDescent="0.25">
      <c r="A1151" s="2">
        <v>46211</v>
      </c>
      <c r="B1151" t="s">
        <v>126</v>
      </c>
      <c r="C1151" t="s">
        <v>127</v>
      </c>
      <c r="D1151" t="s">
        <v>128</v>
      </c>
      <c r="H1151">
        <v>240000</v>
      </c>
      <c r="I1151">
        <v>240000</v>
      </c>
      <c r="J1151" t="s">
        <v>144</v>
      </c>
    </row>
    <row r="1152" spans="1:10" hidden="1" x14ac:dyDescent="0.25">
      <c r="A1152" s="2">
        <v>46218</v>
      </c>
      <c r="B1152" t="s">
        <v>126</v>
      </c>
      <c r="C1152" t="s">
        <v>127</v>
      </c>
      <c r="D1152" t="s">
        <v>128</v>
      </c>
      <c r="H1152">
        <v>240000</v>
      </c>
      <c r="I1152">
        <v>240000</v>
      </c>
      <c r="J1152" t="s">
        <v>144</v>
      </c>
    </row>
    <row r="1153" spans="1:10" hidden="1" x14ac:dyDescent="0.25">
      <c r="A1153" s="2">
        <v>46225</v>
      </c>
      <c r="B1153" t="s">
        <v>126</v>
      </c>
      <c r="C1153" t="s">
        <v>127</v>
      </c>
      <c r="D1153" t="s">
        <v>128</v>
      </c>
      <c r="H1153">
        <v>240000</v>
      </c>
      <c r="I1153">
        <v>240000</v>
      </c>
      <c r="J1153" t="s">
        <v>144</v>
      </c>
    </row>
    <row r="1154" spans="1:10" hidden="1" x14ac:dyDescent="0.25">
      <c r="A1154" s="2">
        <v>46213</v>
      </c>
      <c r="B1154" t="s">
        <v>130</v>
      </c>
      <c r="C1154" t="s">
        <v>131</v>
      </c>
      <c r="D1154" t="s">
        <v>132</v>
      </c>
      <c r="H1154">
        <v>240000</v>
      </c>
      <c r="I1154">
        <v>240000</v>
      </c>
      <c r="J1154" t="s">
        <v>144</v>
      </c>
    </row>
    <row r="1155" spans="1:10" hidden="1" x14ac:dyDescent="0.25">
      <c r="A1155" s="2">
        <v>46220</v>
      </c>
      <c r="B1155" t="s">
        <v>130</v>
      </c>
      <c r="C1155" t="s">
        <v>131</v>
      </c>
      <c r="D1155" t="s">
        <v>132</v>
      </c>
      <c r="H1155">
        <v>240000</v>
      </c>
      <c r="I1155">
        <v>240000</v>
      </c>
      <c r="J1155" t="s">
        <v>144</v>
      </c>
    </row>
    <row r="1156" spans="1:10" hidden="1" x14ac:dyDescent="0.25">
      <c r="A1156" s="21">
        <v>46230</v>
      </c>
      <c r="B1156" t="s">
        <v>6</v>
      </c>
      <c r="C1156" t="s">
        <v>7</v>
      </c>
      <c r="D1156" t="s">
        <v>8</v>
      </c>
      <c r="H1156">
        <v>240000</v>
      </c>
      <c r="I1156">
        <v>240000</v>
      </c>
      <c r="J1156" t="s">
        <v>144</v>
      </c>
    </row>
    <row r="1157" spans="1:10" hidden="1" x14ac:dyDescent="0.25">
      <c r="A1157" s="21">
        <v>46233</v>
      </c>
      <c r="B1157" t="s">
        <v>26</v>
      </c>
      <c r="C1157" t="s">
        <v>27</v>
      </c>
      <c r="D1157" t="s">
        <v>28</v>
      </c>
      <c r="H1157">
        <v>240000</v>
      </c>
      <c r="I1157">
        <v>240000</v>
      </c>
      <c r="J1157" t="s">
        <v>144</v>
      </c>
    </row>
    <row r="1158" spans="1:10" hidden="1" x14ac:dyDescent="0.25">
      <c r="A1158" s="21">
        <v>46232</v>
      </c>
      <c r="B1158" t="s">
        <v>30</v>
      </c>
      <c r="C1158" t="s">
        <v>31</v>
      </c>
      <c r="D1158" t="s">
        <v>200</v>
      </c>
      <c r="H1158">
        <v>240000</v>
      </c>
      <c r="I1158">
        <v>240000</v>
      </c>
      <c r="J1158" t="s">
        <v>144</v>
      </c>
    </row>
  </sheetData>
  <autoFilter ref="A1:D1158" xr:uid="{00000000-0001-0000-0100-000000000000}">
    <filterColumn colId="1">
      <filters>
        <filter val="Jesus Morales Yuliana Olivares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BF02-3554-4682-B198-22B209BE8693}">
  <dimension ref="A1:J8"/>
  <sheetViews>
    <sheetView zoomScale="170" zoomScaleNormal="170" workbookViewId="0">
      <selection activeCell="F12" sqref="F12"/>
    </sheetView>
  </sheetViews>
  <sheetFormatPr baseColWidth="10" defaultRowHeight="15" x14ac:dyDescent="0.25"/>
  <cols>
    <col min="1" max="1" width="19.140625" style="19" bestFit="1" customWidth="1"/>
    <col min="2" max="2" width="7.7109375" style="19" bestFit="1" customWidth="1"/>
    <col min="3" max="4" width="7" style="19" bestFit="1" customWidth="1"/>
    <col min="5" max="5" width="11.42578125" style="19"/>
    <col min="6" max="6" width="12.85546875" style="19" bestFit="1" customWidth="1"/>
    <col min="7" max="7" width="12" style="19" bestFit="1" customWidth="1"/>
    <col min="8" max="16384" width="11.42578125" style="19"/>
  </cols>
  <sheetData>
    <row r="1" spans="1:10" x14ac:dyDescent="0.25">
      <c r="A1" s="19" t="s">
        <v>185</v>
      </c>
      <c r="B1" s="19" t="s">
        <v>186</v>
      </c>
      <c r="C1" s="19" t="s">
        <v>188</v>
      </c>
      <c r="D1" s="19" t="s">
        <v>189</v>
      </c>
    </row>
    <row r="2" spans="1:10" x14ac:dyDescent="0.25">
      <c r="A2" s="19" t="s">
        <v>6</v>
      </c>
      <c r="B2" s="19" t="s">
        <v>184</v>
      </c>
      <c r="C2" s="19">
        <v>30000</v>
      </c>
      <c r="D2" s="19" t="s">
        <v>187</v>
      </c>
      <c r="H2" s="19" t="s">
        <v>196</v>
      </c>
    </row>
    <row r="3" spans="1:10" x14ac:dyDescent="0.25">
      <c r="A3" s="19" t="s">
        <v>190</v>
      </c>
      <c r="B3" s="19" t="s">
        <v>191</v>
      </c>
      <c r="C3" s="19">
        <v>240000</v>
      </c>
      <c r="D3" s="19" t="s">
        <v>192</v>
      </c>
    </row>
    <row r="4" spans="1:10" x14ac:dyDescent="0.25">
      <c r="A4" s="19" t="s">
        <v>14</v>
      </c>
      <c r="B4" s="19" t="s">
        <v>184</v>
      </c>
      <c r="C4" s="19">
        <v>30000</v>
      </c>
      <c r="D4" s="19" t="s">
        <v>187</v>
      </c>
    </row>
    <row r="5" spans="1:10" x14ac:dyDescent="0.25">
      <c r="A5" s="19" t="s">
        <v>22</v>
      </c>
      <c r="B5" s="19" t="s">
        <v>184</v>
      </c>
      <c r="C5" s="19">
        <v>34000</v>
      </c>
      <c r="D5" s="19" t="s">
        <v>194</v>
      </c>
      <c r="F5" s="19" t="s">
        <v>22</v>
      </c>
      <c r="G5" s="19" t="s">
        <v>193</v>
      </c>
      <c r="H5" s="19" t="s">
        <v>195</v>
      </c>
      <c r="J5" s="19">
        <f>13*4</f>
        <v>52</v>
      </c>
    </row>
    <row r="6" spans="1:10" x14ac:dyDescent="0.25">
      <c r="A6" s="19" t="s">
        <v>197</v>
      </c>
      <c r="B6" s="19" t="s">
        <v>184</v>
      </c>
      <c r="C6" s="19">
        <v>30000</v>
      </c>
      <c r="D6" s="19" t="s">
        <v>187</v>
      </c>
      <c r="H6" s="19">
        <v>64</v>
      </c>
    </row>
    <row r="7" spans="1:10" x14ac:dyDescent="0.25">
      <c r="A7" s="19" t="s">
        <v>30</v>
      </c>
      <c r="B7" s="19" t="s">
        <v>184</v>
      </c>
      <c r="C7" s="19">
        <v>30000</v>
      </c>
      <c r="D7" s="19" t="s">
        <v>187</v>
      </c>
      <c r="F7" s="19" t="s">
        <v>198</v>
      </c>
      <c r="H7" s="19">
        <v>64</v>
      </c>
      <c r="J7" s="19" t="s">
        <v>199</v>
      </c>
    </row>
    <row r="8" spans="1:10" x14ac:dyDescent="0.25">
      <c r="A8" s="19" t="s">
        <v>201</v>
      </c>
      <c r="B8" s="19" t="s">
        <v>184</v>
      </c>
      <c r="C8" s="19">
        <v>30000</v>
      </c>
      <c r="D8" s="19" t="s">
        <v>187</v>
      </c>
      <c r="H8" s="19">
        <v>72</v>
      </c>
      <c r="J8" s="19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5"/>
  <sheetViews>
    <sheetView workbookViewId="0">
      <pane ySplit="16" topLeftCell="A17" activePane="bottomLeft" state="frozen"/>
      <selection pane="bottomLeft" sqref="A1:F1"/>
    </sheetView>
  </sheetViews>
  <sheetFormatPr baseColWidth="10" defaultColWidth="9.140625" defaultRowHeight="15" x14ac:dyDescent="0.25"/>
  <cols>
    <col min="1" max="1" width="30" customWidth="1"/>
    <col min="2" max="2" width="18" customWidth="1"/>
    <col min="3" max="3" width="32" customWidth="1"/>
    <col min="4" max="5" width="16" customWidth="1"/>
    <col min="6" max="6" width="18" customWidth="1"/>
  </cols>
  <sheetData>
    <row r="1" spans="1:6" ht="38.1" customHeight="1" x14ac:dyDescent="0.25">
      <c r="A1" s="25" t="s">
        <v>145</v>
      </c>
      <c r="B1" s="23"/>
      <c r="C1" s="23"/>
      <c r="D1" s="23"/>
      <c r="E1" s="23"/>
      <c r="F1" s="23"/>
    </row>
    <row r="2" spans="1:6" ht="8.1" customHeight="1" x14ac:dyDescent="0.25"/>
    <row r="3" spans="1:6" ht="24" customHeight="1" x14ac:dyDescent="0.25">
      <c r="A3" s="24" t="s">
        <v>146</v>
      </c>
      <c r="B3" s="23"/>
      <c r="C3" s="23"/>
      <c r="D3" s="23"/>
      <c r="E3" s="23"/>
      <c r="F3" s="23"/>
    </row>
    <row r="4" spans="1:6" ht="24" customHeight="1" x14ac:dyDescent="0.25">
      <c r="A4" s="3" t="s">
        <v>147</v>
      </c>
      <c r="B4" s="4">
        <v>0</v>
      </c>
      <c r="C4" s="5" t="s">
        <v>148</v>
      </c>
    </row>
    <row r="5" spans="1:6" ht="24" customHeight="1" x14ac:dyDescent="0.25">
      <c r="A5" s="3" t="s">
        <v>149</v>
      </c>
      <c r="B5" s="6">
        <v>0</v>
      </c>
      <c r="C5" s="5" t="s">
        <v>150</v>
      </c>
    </row>
    <row r="6" spans="1:6" ht="24" customHeight="1" x14ac:dyDescent="0.25">
      <c r="A6" s="3" t="s">
        <v>151</v>
      </c>
      <c r="B6" s="7">
        <f>B5*12</f>
        <v>0</v>
      </c>
      <c r="C6" s="5" t="s">
        <v>152</v>
      </c>
    </row>
    <row r="7" spans="1:6" ht="24" customHeight="1" x14ac:dyDescent="0.25">
      <c r="A7" s="3" t="s">
        <v>153</v>
      </c>
      <c r="B7" s="6">
        <v>0</v>
      </c>
      <c r="C7" s="5" t="s">
        <v>154</v>
      </c>
    </row>
    <row r="8" spans="1:6" ht="8.1" customHeight="1" x14ac:dyDescent="0.25"/>
    <row r="9" spans="1:6" ht="24" customHeight="1" x14ac:dyDescent="0.25">
      <c r="A9" s="26" t="s">
        <v>155</v>
      </c>
      <c r="B9" s="23"/>
      <c r="C9" s="23"/>
      <c r="D9" s="23"/>
      <c r="E9" s="23"/>
      <c r="F9" s="23"/>
    </row>
    <row r="10" spans="1:6" ht="26.1" customHeight="1" x14ac:dyDescent="0.25">
      <c r="A10" s="8" t="s">
        <v>156</v>
      </c>
      <c r="B10" s="9">
        <f>IFERROR(-PMT(B5/100,B7,-B4),0)</f>
        <v>0</v>
      </c>
    </row>
    <row r="11" spans="1:6" ht="26.1" customHeight="1" x14ac:dyDescent="0.25">
      <c r="A11" s="8" t="s">
        <v>157</v>
      </c>
      <c r="B11" s="9">
        <f>B10*B7</f>
        <v>0</v>
      </c>
    </row>
    <row r="12" spans="1:6" ht="26.1" customHeight="1" x14ac:dyDescent="0.25">
      <c r="A12" s="8" t="s">
        <v>158</v>
      </c>
      <c r="B12" s="9">
        <f>B11-B4</f>
        <v>0</v>
      </c>
    </row>
    <row r="13" spans="1:6" ht="26.1" customHeight="1" x14ac:dyDescent="0.25">
      <c r="A13" s="8" t="s">
        <v>159</v>
      </c>
      <c r="B13" s="9">
        <f>B4</f>
        <v>0</v>
      </c>
    </row>
    <row r="14" spans="1:6" ht="8.1" customHeight="1" x14ac:dyDescent="0.25"/>
    <row r="15" spans="1:6" ht="24" customHeight="1" x14ac:dyDescent="0.25">
      <c r="A15" s="24" t="s">
        <v>160</v>
      </c>
      <c r="B15" s="23"/>
      <c r="C15" s="23"/>
      <c r="D15" s="23"/>
      <c r="E15" s="23"/>
      <c r="F15" s="23"/>
    </row>
    <row r="16" spans="1:6" ht="20.100000000000001" customHeight="1" x14ac:dyDescent="0.25">
      <c r="A16" s="10" t="s">
        <v>161</v>
      </c>
      <c r="B16" s="10" t="s">
        <v>162</v>
      </c>
      <c r="C16" s="10" t="s">
        <v>163</v>
      </c>
      <c r="D16" s="10" t="s">
        <v>164</v>
      </c>
      <c r="E16" s="10" t="s">
        <v>165</v>
      </c>
      <c r="F16" s="10" t="s">
        <v>166</v>
      </c>
    </row>
    <row r="17" spans="1:6" ht="15.95" customHeight="1" x14ac:dyDescent="0.25">
      <c r="A17" s="11">
        <v>1</v>
      </c>
      <c r="B17" s="12">
        <f>IF($B$7&gt;=1,$B$4,0)</f>
        <v>0</v>
      </c>
      <c r="C17" s="12">
        <f t="shared" ref="C17:C48" si="0">IF(A17&lt;=$B$7,$B$10,0)</f>
        <v>0</v>
      </c>
      <c r="D17" s="12">
        <f t="shared" ref="D17:D48" si="1">IF(A17&lt;=$B$7,B17*$B$5/100,0)</f>
        <v>0</v>
      </c>
      <c r="E17" s="12">
        <f t="shared" ref="E17:E48" si="2">IF(A17&lt;=$B$7,C17-D17,0)</f>
        <v>0</v>
      </c>
      <c r="F17" s="12">
        <f t="shared" ref="F17:F48" si="3">IF(A17&lt;=$B$7,MAX(0,B17-E17),0)</f>
        <v>0</v>
      </c>
    </row>
    <row r="18" spans="1:6" ht="15.95" customHeight="1" x14ac:dyDescent="0.25">
      <c r="A18" s="13">
        <v>2</v>
      </c>
      <c r="B18" s="14">
        <f t="shared" ref="B18:B49" si="4">IF(A18&lt;=$B$7,MAX(0,F17),0)</f>
        <v>0</v>
      </c>
      <c r="C18" s="14">
        <f t="shared" si="0"/>
        <v>0</v>
      </c>
      <c r="D18" s="14">
        <f t="shared" si="1"/>
        <v>0</v>
      </c>
      <c r="E18" s="14">
        <f t="shared" si="2"/>
        <v>0</v>
      </c>
      <c r="F18" s="14">
        <f t="shared" si="3"/>
        <v>0</v>
      </c>
    </row>
    <row r="19" spans="1:6" ht="15.95" customHeight="1" x14ac:dyDescent="0.25">
      <c r="A19" s="11">
        <v>3</v>
      </c>
      <c r="B19" s="12">
        <f t="shared" si="4"/>
        <v>0</v>
      </c>
      <c r="C19" s="12">
        <f t="shared" si="0"/>
        <v>0</v>
      </c>
      <c r="D19" s="12">
        <f t="shared" si="1"/>
        <v>0</v>
      </c>
      <c r="E19" s="12">
        <f t="shared" si="2"/>
        <v>0</v>
      </c>
      <c r="F19" s="12">
        <f t="shared" si="3"/>
        <v>0</v>
      </c>
    </row>
    <row r="20" spans="1:6" ht="15.95" customHeight="1" x14ac:dyDescent="0.25">
      <c r="A20" s="13">
        <v>4</v>
      </c>
      <c r="B20" s="14">
        <f t="shared" si="4"/>
        <v>0</v>
      </c>
      <c r="C20" s="14">
        <f t="shared" si="0"/>
        <v>0</v>
      </c>
      <c r="D20" s="14">
        <f t="shared" si="1"/>
        <v>0</v>
      </c>
      <c r="E20" s="14">
        <f t="shared" si="2"/>
        <v>0</v>
      </c>
      <c r="F20" s="14">
        <f t="shared" si="3"/>
        <v>0</v>
      </c>
    </row>
    <row r="21" spans="1:6" ht="15.95" customHeight="1" x14ac:dyDescent="0.25">
      <c r="A21" s="11">
        <v>5</v>
      </c>
      <c r="B21" s="12">
        <f t="shared" si="4"/>
        <v>0</v>
      </c>
      <c r="C21" s="12">
        <f t="shared" si="0"/>
        <v>0</v>
      </c>
      <c r="D21" s="12">
        <f t="shared" si="1"/>
        <v>0</v>
      </c>
      <c r="E21" s="12">
        <f t="shared" si="2"/>
        <v>0</v>
      </c>
      <c r="F21" s="12">
        <f t="shared" si="3"/>
        <v>0</v>
      </c>
    </row>
    <row r="22" spans="1:6" ht="15.95" customHeight="1" x14ac:dyDescent="0.25">
      <c r="A22" s="13">
        <v>6</v>
      </c>
      <c r="B22" s="14">
        <f t="shared" si="4"/>
        <v>0</v>
      </c>
      <c r="C22" s="14">
        <f t="shared" si="0"/>
        <v>0</v>
      </c>
      <c r="D22" s="14">
        <f t="shared" si="1"/>
        <v>0</v>
      </c>
      <c r="E22" s="14">
        <f t="shared" si="2"/>
        <v>0</v>
      </c>
      <c r="F22" s="14">
        <f t="shared" si="3"/>
        <v>0</v>
      </c>
    </row>
    <row r="23" spans="1:6" ht="15.95" customHeight="1" x14ac:dyDescent="0.25">
      <c r="A23" s="11">
        <v>7</v>
      </c>
      <c r="B23" s="12">
        <f t="shared" si="4"/>
        <v>0</v>
      </c>
      <c r="C23" s="12">
        <f t="shared" si="0"/>
        <v>0</v>
      </c>
      <c r="D23" s="12">
        <f t="shared" si="1"/>
        <v>0</v>
      </c>
      <c r="E23" s="12">
        <f t="shared" si="2"/>
        <v>0</v>
      </c>
      <c r="F23" s="12">
        <f t="shared" si="3"/>
        <v>0</v>
      </c>
    </row>
    <row r="24" spans="1:6" ht="15.95" customHeight="1" x14ac:dyDescent="0.25">
      <c r="A24" s="13">
        <v>8</v>
      </c>
      <c r="B24" s="14">
        <f t="shared" si="4"/>
        <v>0</v>
      </c>
      <c r="C24" s="14">
        <f t="shared" si="0"/>
        <v>0</v>
      </c>
      <c r="D24" s="14">
        <f t="shared" si="1"/>
        <v>0</v>
      </c>
      <c r="E24" s="14">
        <f t="shared" si="2"/>
        <v>0</v>
      </c>
      <c r="F24" s="14">
        <f t="shared" si="3"/>
        <v>0</v>
      </c>
    </row>
    <row r="25" spans="1:6" ht="15.95" customHeight="1" x14ac:dyDescent="0.25">
      <c r="A25" s="11">
        <v>9</v>
      </c>
      <c r="B25" s="12">
        <f t="shared" si="4"/>
        <v>0</v>
      </c>
      <c r="C25" s="12">
        <f t="shared" si="0"/>
        <v>0</v>
      </c>
      <c r="D25" s="12">
        <f t="shared" si="1"/>
        <v>0</v>
      </c>
      <c r="E25" s="12">
        <f t="shared" si="2"/>
        <v>0</v>
      </c>
      <c r="F25" s="12">
        <f t="shared" si="3"/>
        <v>0</v>
      </c>
    </row>
    <row r="26" spans="1:6" ht="15.95" customHeight="1" x14ac:dyDescent="0.25">
      <c r="A26" s="13">
        <v>10</v>
      </c>
      <c r="B26" s="14">
        <f t="shared" si="4"/>
        <v>0</v>
      </c>
      <c r="C26" s="14">
        <f t="shared" si="0"/>
        <v>0</v>
      </c>
      <c r="D26" s="14">
        <f t="shared" si="1"/>
        <v>0</v>
      </c>
      <c r="E26" s="14">
        <f t="shared" si="2"/>
        <v>0</v>
      </c>
      <c r="F26" s="14">
        <f t="shared" si="3"/>
        <v>0</v>
      </c>
    </row>
    <row r="27" spans="1:6" ht="15.95" customHeight="1" x14ac:dyDescent="0.25">
      <c r="A27" s="11">
        <v>11</v>
      </c>
      <c r="B27" s="12">
        <f t="shared" si="4"/>
        <v>0</v>
      </c>
      <c r="C27" s="12">
        <f t="shared" si="0"/>
        <v>0</v>
      </c>
      <c r="D27" s="12">
        <f t="shared" si="1"/>
        <v>0</v>
      </c>
      <c r="E27" s="12">
        <f t="shared" si="2"/>
        <v>0</v>
      </c>
      <c r="F27" s="12">
        <f t="shared" si="3"/>
        <v>0</v>
      </c>
    </row>
    <row r="28" spans="1:6" ht="15.95" customHeight="1" x14ac:dyDescent="0.25">
      <c r="A28" s="13">
        <v>12</v>
      </c>
      <c r="B28" s="14">
        <f t="shared" si="4"/>
        <v>0</v>
      </c>
      <c r="C28" s="14">
        <f t="shared" si="0"/>
        <v>0</v>
      </c>
      <c r="D28" s="14">
        <f t="shared" si="1"/>
        <v>0</v>
      </c>
      <c r="E28" s="14">
        <f t="shared" si="2"/>
        <v>0</v>
      </c>
      <c r="F28" s="14">
        <f t="shared" si="3"/>
        <v>0</v>
      </c>
    </row>
    <row r="29" spans="1:6" ht="15.95" customHeight="1" x14ac:dyDescent="0.25">
      <c r="A29" s="11">
        <v>13</v>
      </c>
      <c r="B29" s="12">
        <f t="shared" si="4"/>
        <v>0</v>
      </c>
      <c r="C29" s="12">
        <f t="shared" si="0"/>
        <v>0</v>
      </c>
      <c r="D29" s="12">
        <f t="shared" si="1"/>
        <v>0</v>
      </c>
      <c r="E29" s="12">
        <f t="shared" si="2"/>
        <v>0</v>
      </c>
      <c r="F29" s="12">
        <f t="shared" si="3"/>
        <v>0</v>
      </c>
    </row>
    <row r="30" spans="1:6" ht="15.95" customHeight="1" x14ac:dyDescent="0.25">
      <c r="A30" s="13">
        <v>14</v>
      </c>
      <c r="B30" s="14">
        <f t="shared" si="4"/>
        <v>0</v>
      </c>
      <c r="C30" s="14">
        <f t="shared" si="0"/>
        <v>0</v>
      </c>
      <c r="D30" s="14">
        <f t="shared" si="1"/>
        <v>0</v>
      </c>
      <c r="E30" s="14">
        <f t="shared" si="2"/>
        <v>0</v>
      </c>
      <c r="F30" s="14">
        <f t="shared" si="3"/>
        <v>0</v>
      </c>
    </row>
    <row r="31" spans="1:6" ht="15.95" customHeight="1" x14ac:dyDescent="0.25">
      <c r="A31" s="11">
        <v>15</v>
      </c>
      <c r="B31" s="12">
        <f t="shared" si="4"/>
        <v>0</v>
      </c>
      <c r="C31" s="12">
        <f t="shared" si="0"/>
        <v>0</v>
      </c>
      <c r="D31" s="12">
        <f t="shared" si="1"/>
        <v>0</v>
      </c>
      <c r="E31" s="12">
        <f t="shared" si="2"/>
        <v>0</v>
      </c>
      <c r="F31" s="12">
        <f t="shared" si="3"/>
        <v>0</v>
      </c>
    </row>
    <row r="32" spans="1:6" ht="15.95" customHeight="1" x14ac:dyDescent="0.25">
      <c r="A32" s="13">
        <v>16</v>
      </c>
      <c r="B32" s="14">
        <f t="shared" si="4"/>
        <v>0</v>
      </c>
      <c r="C32" s="14">
        <f t="shared" si="0"/>
        <v>0</v>
      </c>
      <c r="D32" s="14">
        <f t="shared" si="1"/>
        <v>0</v>
      </c>
      <c r="E32" s="14">
        <f t="shared" si="2"/>
        <v>0</v>
      </c>
      <c r="F32" s="14">
        <f t="shared" si="3"/>
        <v>0</v>
      </c>
    </row>
    <row r="33" spans="1:6" ht="15.95" customHeight="1" x14ac:dyDescent="0.25">
      <c r="A33" s="11">
        <v>17</v>
      </c>
      <c r="B33" s="12">
        <f t="shared" si="4"/>
        <v>0</v>
      </c>
      <c r="C33" s="12">
        <f t="shared" si="0"/>
        <v>0</v>
      </c>
      <c r="D33" s="12">
        <f t="shared" si="1"/>
        <v>0</v>
      </c>
      <c r="E33" s="12">
        <f t="shared" si="2"/>
        <v>0</v>
      </c>
      <c r="F33" s="12">
        <f t="shared" si="3"/>
        <v>0</v>
      </c>
    </row>
    <row r="34" spans="1:6" ht="15.95" customHeight="1" x14ac:dyDescent="0.25">
      <c r="A34" s="13">
        <v>18</v>
      </c>
      <c r="B34" s="14">
        <f t="shared" si="4"/>
        <v>0</v>
      </c>
      <c r="C34" s="14">
        <f t="shared" si="0"/>
        <v>0</v>
      </c>
      <c r="D34" s="14">
        <f t="shared" si="1"/>
        <v>0</v>
      </c>
      <c r="E34" s="14">
        <f t="shared" si="2"/>
        <v>0</v>
      </c>
      <c r="F34" s="14">
        <f t="shared" si="3"/>
        <v>0</v>
      </c>
    </row>
    <row r="35" spans="1:6" ht="15.95" customHeight="1" x14ac:dyDescent="0.25">
      <c r="A35" s="11">
        <v>19</v>
      </c>
      <c r="B35" s="12">
        <f t="shared" si="4"/>
        <v>0</v>
      </c>
      <c r="C35" s="12">
        <f t="shared" si="0"/>
        <v>0</v>
      </c>
      <c r="D35" s="12">
        <f t="shared" si="1"/>
        <v>0</v>
      </c>
      <c r="E35" s="12">
        <f t="shared" si="2"/>
        <v>0</v>
      </c>
      <c r="F35" s="12">
        <f t="shared" si="3"/>
        <v>0</v>
      </c>
    </row>
    <row r="36" spans="1:6" ht="15.95" customHeight="1" x14ac:dyDescent="0.25">
      <c r="A36" s="13">
        <v>20</v>
      </c>
      <c r="B36" s="14">
        <f t="shared" si="4"/>
        <v>0</v>
      </c>
      <c r="C36" s="14">
        <f t="shared" si="0"/>
        <v>0</v>
      </c>
      <c r="D36" s="14">
        <f t="shared" si="1"/>
        <v>0</v>
      </c>
      <c r="E36" s="14">
        <f t="shared" si="2"/>
        <v>0</v>
      </c>
      <c r="F36" s="14">
        <f t="shared" si="3"/>
        <v>0</v>
      </c>
    </row>
    <row r="37" spans="1:6" ht="15.95" customHeight="1" x14ac:dyDescent="0.25">
      <c r="A37" s="11">
        <v>21</v>
      </c>
      <c r="B37" s="12">
        <f t="shared" si="4"/>
        <v>0</v>
      </c>
      <c r="C37" s="12">
        <f t="shared" si="0"/>
        <v>0</v>
      </c>
      <c r="D37" s="12">
        <f t="shared" si="1"/>
        <v>0</v>
      </c>
      <c r="E37" s="12">
        <f t="shared" si="2"/>
        <v>0</v>
      </c>
      <c r="F37" s="12">
        <f t="shared" si="3"/>
        <v>0</v>
      </c>
    </row>
    <row r="38" spans="1:6" ht="15.95" customHeight="1" x14ac:dyDescent="0.25">
      <c r="A38" s="13">
        <v>22</v>
      </c>
      <c r="B38" s="14">
        <f t="shared" si="4"/>
        <v>0</v>
      </c>
      <c r="C38" s="14">
        <f t="shared" si="0"/>
        <v>0</v>
      </c>
      <c r="D38" s="14">
        <f t="shared" si="1"/>
        <v>0</v>
      </c>
      <c r="E38" s="14">
        <f t="shared" si="2"/>
        <v>0</v>
      </c>
      <c r="F38" s="14">
        <f t="shared" si="3"/>
        <v>0</v>
      </c>
    </row>
    <row r="39" spans="1:6" ht="15.95" customHeight="1" x14ac:dyDescent="0.25">
      <c r="A39" s="11">
        <v>23</v>
      </c>
      <c r="B39" s="12">
        <f t="shared" si="4"/>
        <v>0</v>
      </c>
      <c r="C39" s="12">
        <f t="shared" si="0"/>
        <v>0</v>
      </c>
      <c r="D39" s="12">
        <f t="shared" si="1"/>
        <v>0</v>
      </c>
      <c r="E39" s="12">
        <f t="shared" si="2"/>
        <v>0</v>
      </c>
      <c r="F39" s="12">
        <f t="shared" si="3"/>
        <v>0</v>
      </c>
    </row>
    <row r="40" spans="1:6" ht="15.95" customHeight="1" x14ac:dyDescent="0.25">
      <c r="A40" s="13">
        <v>24</v>
      </c>
      <c r="B40" s="14">
        <f t="shared" si="4"/>
        <v>0</v>
      </c>
      <c r="C40" s="14">
        <f t="shared" si="0"/>
        <v>0</v>
      </c>
      <c r="D40" s="14">
        <f t="shared" si="1"/>
        <v>0</v>
      </c>
      <c r="E40" s="14">
        <f t="shared" si="2"/>
        <v>0</v>
      </c>
      <c r="F40" s="14">
        <f t="shared" si="3"/>
        <v>0</v>
      </c>
    </row>
    <row r="41" spans="1:6" ht="15.95" customHeight="1" x14ac:dyDescent="0.25">
      <c r="A41" s="11">
        <v>25</v>
      </c>
      <c r="B41" s="12">
        <f t="shared" si="4"/>
        <v>0</v>
      </c>
      <c r="C41" s="12">
        <f t="shared" si="0"/>
        <v>0</v>
      </c>
      <c r="D41" s="12">
        <f t="shared" si="1"/>
        <v>0</v>
      </c>
      <c r="E41" s="12">
        <f t="shared" si="2"/>
        <v>0</v>
      </c>
      <c r="F41" s="12">
        <f t="shared" si="3"/>
        <v>0</v>
      </c>
    </row>
    <row r="42" spans="1:6" ht="15.95" customHeight="1" x14ac:dyDescent="0.25">
      <c r="A42" s="13">
        <v>26</v>
      </c>
      <c r="B42" s="14">
        <f t="shared" si="4"/>
        <v>0</v>
      </c>
      <c r="C42" s="14">
        <f t="shared" si="0"/>
        <v>0</v>
      </c>
      <c r="D42" s="14">
        <f t="shared" si="1"/>
        <v>0</v>
      </c>
      <c r="E42" s="14">
        <f t="shared" si="2"/>
        <v>0</v>
      </c>
      <c r="F42" s="14">
        <f t="shared" si="3"/>
        <v>0</v>
      </c>
    </row>
    <row r="43" spans="1:6" ht="15.95" customHeight="1" x14ac:dyDescent="0.25">
      <c r="A43" s="11">
        <v>27</v>
      </c>
      <c r="B43" s="12">
        <f t="shared" si="4"/>
        <v>0</v>
      </c>
      <c r="C43" s="12">
        <f t="shared" si="0"/>
        <v>0</v>
      </c>
      <c r="D43" s="12">
        <f t="shared" si="1"/>
        <v>0</v>
      </c>
      <c r="E43" s="12">
        <f t="shared" si="2"/>
        <v>0</v>
      </c>
      <c r="F43" s="12">
        <f t="shared" si="3"/>
        <v>0</v>
      </c>
    </row>
    <row r="44" spans="1:6" ht="15.95" customHeight="1" x14ac:dyDescent="0.25">
      <c r="A44" s="13">
        <v>28</v>
      </c>
      <c r="B44" s="14">
        <f t="shared" si="4"/>
        <v>0</v>
      </c>
      <c r="C44" s="14">
        <f t="shared" si="0"/>
        <v>0</v>
      </c>
      <c r="D44" s="14">
        <f t="shared" si="1"/>
        <v>0</v>
      </c>
      <c r="E44" s="14">
        <f t="shared" si="2"/>
        <v>0</v>
      </c>
      <c r="F44" s="14">
        <f t="shared" si="3"/>
        <v>0</v>
      </c>
    </row>
    <row r="45" spans="1:6" ht="15.95" customHeight="1" x14ac:dyDescent="0.25">
      <c r="A45" s="11">
        <v>29</v>
      </c>
      <c r="B45" s="12">
        <f t="shared" si="4"/>
        <v>0</v>
      </c>
      <c r="C45" s="12">
        <f t="shared" si="0"/>
        <v>0</v>
      </c>
      <c r="D45" s="12">
        <f t="shared" si="1"/>
        <v>0</v>
      </c>
      <c r="E45" s="12">
        <f t="shared" si="2"/>
        <v>0</v>
      </c>
      <c r="F45" s="12">
        <f t="shared" si="3"/>
        <v>0</v>
      </c>
    </row>
    <row r="46" spans="1:6" ht="15.95" customHeight="1" x14ac:dyDescent="0.25">
      <c r="A46" s="13">
        <v>30</v>
      </c>
      <c r="B46" s="14">
        <f t="shared" si="4"/>
        <v>0</v>
      </c>
      <c r="C46" s="14">
        <f t="shared" si="0"/>
        <v>0</v>
      </c>
      <c r="D46" s="14">
        <f t="shared" si="1"/>
        <v>0</v>
      </c>
      <c r="E46" s="14">
        <f t="shared" si="2"/>
        <v>0</v>
      </c>
      <c r="F46" s="14">
        <f t="shared" si="3"/>
        <v>0</v>
      </c>
    </row>
    <row r="47" spans="1:6" ht="15.95" customHeight="1" x14ac:dyDescent="0.25">
      <c r="A47" s="11">
        <v>31</v>
      </c>
      <c r="B47" s="12">
        <f t="shared" si="4"/>
        <v>0</v>
      </c>
      <c r="C47" s="12">
        <f t="shared" si="0"/>
        <v>0</v>
      </c>
      <c r="D47" s="12">
        <f t="shared" si="1"/>
        <v>0</v>
      </c>
      <c r="E47" s="12">
        <f t="shared" si="2"/>
        <v>0</v>
      </c>
      <c r="F47" s="12">
        <f t="shared" si="3"/>
        <v>0</v>
      </c>
    </row>
    <row r="48" spans="1:6" ht="15.95" customHeight="1" x14ac:dyDescent="0.25">
      <c r="A48" s="13">
        <v>32</v>
      </c>
      <c r="B48" s="14">
        <f t="shared" si="4"/>
        <v>0</v>
      </c>
      <c r="C48" s="14">
        <f t="shared" si="0"/>
        <v>0</v>
      </c>
      <c r="D48" s="14">
        <f t="shared" si="1"/>
        <v>0</v>
      </c>
      <c r="E48" s="14">
        <f t="shared" si="2"/>
        <v>0</v>
      </c>
      <c r="F48" s="14">
        <f t="shared" si="3"/>
        <v>0</v>
      </c>
    </row>
    <row r="49" spans="1:6" ht="15.95" customHeight="1" x14ac:dyDescent="0.25">
      <c r="A49" s="11">
        <v>33</v>
      </c>
      <c r="B49" s="12">
        <f t="shared" si="4"/>
        <v>0</v>
      </c>
      <c r="C49" s="12">
        <f t="shared" ref="C49:C80" si="5">IF(A49&lt;=$B$7,$B$10,0)</f>
        <v>0</v>
      </c>
      <c r="D49" s="12">
        <f t="shared" ref="D49:D80" si="6">IF(A49&lt;=$B$7,B49*$B$5/100,0)</f>
        <v>0</v>
      </c>
      <c r="E49" s="12">
        <f t="shared" ref="E49:E80" si="7">IF(A49&lt;=$B$7,C49-D49,0)</f>
        <v>0</v>
      </c>
      <c r="F49" s="12">
        <f t="shared" ref="F49:F80" si="8">IF(A49&lt;=$B$7,MAX(0,B49-E49),0)</f>
        <v>0</v>
      </c>
    </row>
    <row r="50" spans="1:6" ht="15.95" customHeight="1" x14ac:dyDescent="0.25">
      <c r="A50" s="13">
        <v>34</v>
      </c>
      <c r="B50" s="14">
        <f t="shared" ref="B50:B81" si="9">IF(A50&lt;=$B$7,MAX(0,F49),0)</f>
        <v>0</v>
      </c>
      <c r="C50" s="14">
        <f t="shared" si="5"/>
        <v>0</v>
      </c>
      <c r="D50" s="14">
        <f t="shared" si="6"/>
        <v>0</v>
      </c>
      <c r="E50" s="14">
        <f t="shared" si="7"/>
        <v>0</v>
      </c>
      <c r="F50" s="14">
        <f t="shared" si="8"/>
        <v>0</v>
      </c>
    </row>
    <row r="51" spans="1:6" ht="15.95" customHeight="1" x14ac:dyDescent="0.25">
      <c r="A51" s="11">
        <v>35</v>
      </c>
      <c r="B51" s="12">
        <f t="shared" si="9"/>
        <v>0</v>
      </c>
      <c r="C51" s="12">
        <f t="shared" si="5"/>
        <v>0</v>
      </c>
      <c r="D51" s="12">
        <f t="shared" si="6"/>
        <v>0</v>
      </c>
      <c r="E51" s="12">
        <f t="shared" si="7"/>
        <v>0</v>
      </c>
      <c r="F51" s="12">
        <f t="shared" si="8"/>
        <v>0</v>
      </c>
    </row>
    <row r="52" spans="1:6" ht="15.95" customHeight="1" x14ac:dyDescent="0.25">
      <c r="A52" s="13">
        <v>36</v>
      </c>
      <c r="B52" s="14">
        <f t="shared" si="9"/>
        <v>0</v>
      </c>
      <c r="C52" s="14">
        <f t="shared" si="5"/>
        <v>0</v>
      </c>
      <c r="D52" s="14">
        <f t="shared" si="6"/>
        <v>0</v>
      </c>
      <c r="E52" s="14">
        <f t="shared" si="7"/>
        <v>0</v>
      </c>
      <c r="F52" s="14">
        <f t="shared" si="8"/>
        <v>0</v>
      </c>
    </row>
    <row r="53" spans="1:6" ht="15.95" customHeight="1" x14ac:dyDescent="0.25">
      <c r="A53" s="11">
        <v>37</v>
      </c>
      <c r="B53" s="12">
        <f t="shared" si="9"/>
        <v>0</v>
      </c>
      <c r="C53" s="12">
        <f t="shared" si="5"/>
        <v>0</v>
      </c>
      <c r="D53" s="12">
        <f t="shared" si="6"/>
        <v>0</v>
      </c>
      <c r="E53" s="12">
        <f t="shared" si="7"/>
        <v>0</v>
      </c>
      <c r="F53" s="12">
        <f t="shared" si="8"/>
        <v>0</v>
      </c>
    </row>
    <row r="54" spans="1:6" ht="15.95" customHeight="1" x14ac:dyDescent="0.25">
      <c r="A54" s="13">
        <v>38</v>
      </c>
      <c r="B54" s="14">
        <f t="shared" si="9"/>
        <v>0</v>
      </c>
      <c r="C54" s="14">
        <f t="shared" si="5"/>
        <v>0</v>
      </c>
      <c r="D54" s="14">
        <f t="shared" si="6"/>
        <v>0</v>
      </c>
      <c r="E54" s="14">
        <f t="shared" si="7"/>
        <v>0</v>
      </c>
      <c r="F54" s="14">
        <f t="shared" si="8"/>
        <v>0</v>
      </c>
    </row>
    <row r="55" spans="1:6" ht="15.95" customHeight="1" x14ac:dyDescent="0.25">
      <c r="A55" s="11">
        <v>39</v>
      </c>
      <c r="B55" s="12">
        <f t="shared" si="9"/>
        <v>0</v>
      </c>
      <c r="C55" s="12">
        <f t="shared" si="5"/>
        <v>0</v>
      </c>
      <c r="D55" s="12">
        <f t="shared" si="6"/>
        <v>0</v>
      </c>
      <c r="E55" s="12">
        <f t="shared" si="7"/>
        <v>0</v>
      </c>
      <c r="F55" s="12">
        <f t="shared" si="8"/>
        <v>0</v>
      </c>
    </row>
    <row r="56" spans="1:6" ht="15.95" customHeight="1" x14ac:dyDescent="0.25">
      <c r="A56" s="13">
        <v>40</v>
      </c>
      <c r="B56" s="14">
        <f t="shared" si="9"/>
        <v>0</v>
      </c>
      <c r="C56" s="14">
        <f t="shared" si="5"/>
        <v>0</v>
      </c>
      <c r="D56" s="14">
        <f t="shared" si="6"/>
        <v>0</v>
      </c>
      <c r="E56" s="14">
        <f t="shared" si="7"/>
        <v>0</v>
      </c>
      <c r="F56" s="14">
        <f t="shared" si="8"/>
        <v>0</v>
      </c>
    </row>
    <row r="57" spans="1:6" ht="15.95" customHeight="1" x14ac:dyDescent="0.25">
      <c r="A57" s="11">
        <v>41</v>
      </c>
      <c r="B57" s="12">
        <f t="shared" si="9"/>
        <v>0</v>
      </c>
      <c r="C57" s="12">
        <f t="shared" si="5"/>
        <v>0</v>
      </c>
      <c r="D57" s="12">
        <f t="shared" si="6"/>
        <v>0</v>
      </c>
      <c r="E57" s="12">
        <f t="shared" si="7"/>
        <v>0</v>
      </c>
      <c r="F57" s="12">
        <f t="shared" si="8"/>
        <v>0</v>
      </c>
    </row>
    <row r="58" spans="1:6" ht="15.95" customHeight="1" x14ac:dyDescent="0.25">
      <c r="A58" s="13">
        <v>42</v>
      </c>
      <c r="B58" s="14">
        <f t="shared" si="9"/>
        <v>0</v>
      </c>
      <c r="C58" s="14">
        <f t="shared" si="5"/>
        <v>0</v>
      </c>
      <c r="D58" s="14">
        <f t="shared" si="6"/>
        <v>0</v>
      </c>
      <c r="E58" s="14">
        <f t="shared" si="7"/>
        <v>0</v>
      </c>
      <c r="F58" s="14">
        <f t="shared" si="8"/>
        <v>0</v>
      </c>
    </row>
    <row r="59" spans="1:6" ht="15.95" customHeight="1" x14ac:dyDescent="0.25">
      <c r="A59" s="11">
        <v>43</v>
      </c>
      <c r="B59" s="12">
        <f t="shared" si="9"/>
        <v>0</v>
      </c>
      <c r="C59" s="12">
        <f t="shared" si="5"/>
        <v>0</v>
      </c>
      <c r="D59" s="12">
        <f t="shared" si="6"/>
        <v>0</v>
      </c>
      <c r="E59" s="12">
        <f t="shared" si="7"/>
        <v>0</v>
      </c>
      <c r="F59" s="12">
        <f t="shared" si="8"/>
        <v>0</v>
      </c>
    </row>
    <row r="60" spans="1:6" ht="15.95" customHeight="1" x14ac:dyDescent="0.25">
      <c r="A60" s="13">
        <v>44</v>
      </c>
      <c r="B60" s="14">
        <f t="shared" si="9"/>
        <v>0</v>
      </c>
      <c r="C60" s="14">
        <f t="shared" si="5"/>
        <v>0</v>
      </c>
      <c r="D60" s="14">
        <f t="shared" si="6"/>
        <v>0</v>
      </c>
      <c r="E60" s="14">
        <f t="shared" si="7"/>
        <v>0</v>
      </c>
      <c r="F60" s="14">
        <f t="shared" si="8"/>
        <v>0</v>
      </c>
    </row>
    <row r="61" spans="1:6" ht="15.95" customHeight="1" x14ac:dyDescent="0.25">
      <c r="A61" s="11">
        <v>45</v>
      </c>
      <c r="B61" s="12">
        <f t="shared" si="9"/>
        <v>0</v>
      </c>
      <c r="C61" s="12">
        <f t="shared" si="5"/>
        <v>0</v>
      </c>
      <c r="D61" s="12">
        <f t="shared" si="6"/>
        <v>0</v>
      </c>
      <c r="E61" s="12">
        <f t="shared" si="7"/>
        <v>0</v>
      </c>
      <c r="F61" s="12">
        <f t="shared" si="8"/>
        <v>0</v>
      </c>
    </row>
    <row r="62" spans="1:6" ht="15.95" customHeight="1" x14ac:dyDescent="0.25">
      <c r="A62" s="13">
        <v>46</v>
      </c>
      <c r="B62" s="14">
        <f t="shared" si="9"/>
        <v>0</v>
      </c>
      <c r="C62" s="14">
        <f t="shared" si="5"/>
        <v>0</v>
      </c>
      <c r="D62" s="14">
        <f t="shared" si="6"/>
        <v>0</v>
      </c>
      <c r="E62" s="14">
        <f t="shared" si="7"/>
        <v>0</v>
      </c>
      <c r="F62" s="14">
        <f t="shared" si="8"/>
        <v>0</v>
      </c>
    </row>
    <row r="63" spans="1:6" ht="15.95" customHeight="1" x14ac:dyDescent="0.25">
      <c r="A63" s="11">
        <v>47</v>
      </c>
      <c r="B63" s="12">
        <f t="shared" si="9"/>
        <v>0</v>
      </c>
      <c r="C63" s="12">
        <f t="shared" si="5"/>
        <v>0</v>
      </c>
      <c r="D63" s="12">
        <f t="shared" si="6"/>
        <v>0</v>
      </c>
      <c r="E63" s="12">
        <f t="shared" si="7"/>
        <v>0</v>
      </c>
      <c r="F63" s="12">
        <f t="shared" si="8"/>
        <v>0</v>
      </c>
    </row>
    <row r="64" spans="1:6" ht="15.95" customHeight="1" x14ac:dyDescent="0.25">
      <c r="A64" s="13">
        <v>48</v>
      </c>
      <c r="B64" s="14">
        <f t="shared" si="9"/>
        <v>0</v>
      </c>
      <c r="C64" s="14">
        <f t="shared" si="5"/>
        <v>0</v>
      </c>
      <c r="D64" s="14">
        <f t="shared" si="6"/>
        <v>0</v>
      </c>
      <c r="E64" s="14">
        <f t="shared" si="7"/>
        <v>0</v>
      </c>
      <c r="F64" s="14">
        <f t="shared" si="8"/>
        <v>0</v>
      </c>
    </row>
    <row r="65" spans="1:6" ht="15.95" customHeight="1" x14ac:dyDescent="0.25">
      <c r="A65" s="11">
        <v>49</v>
      </c>
      <c r="B65" s="12">
        <f t="shared" si="9"/>
        <v>0</v>
      </c>
      <c r="C65" s="12">
        <f t="shared" si="5"/>
        <v>0</v>
      </c>
      <c r="D65" s="12">
        <f t="shared" si="6"/>
        <v>0</v>
      </c>
      <c r="E65" s="12">
        <f t="shared" si="7"/>
        <v>0</v>
      </c>
      <c r="F65" s="12">
        <f t="shared" si="8"/>
        <v>0</v>
      </c>
    </row>
    <row r="66" spans="1:6" ht="15.95" customHeight="1" x14ac:dyDescent="0.25">
      <c r="A66" s="13">
        <v>50</v>
      </c>
      <c r="B66" s="14">
        <f t="shared" si="9"/>
        <v>0</v>
      </c>
      <c r="C66" s="14">
        <f t="shared" si="5"/>
        <v>0</v>
      </c>
      <c r="D66" s="14">
        <f t="shared" si="6"/>
        <v>0</v>
      </c>
      <c r="E66" s="14">
        <f t="shared" si="7"/>
        <v>0</v>
      </c>
      <c r="F66" s="14">
        <f t="shared" si="8"/>
        <v>0</v>
      </c>
    </row>
    <row r="67" spans="1:6" ht="15.95" customHeight="1" x14ac:dyDescent="0.25">
      <c r="A67" s="11">
        <v>51</v>
      </c>
      <c r="B67" s="12">
        <f t="shared" si="9"/>
        <v>0</v>
      </c>
      <c r="C67" s="12">
        <f t="shared" si="5"/>
        <v>0</v>
      </c>
      <c r="D67" s="12">
        <f t="shared" si="6"/>
        <v>0</v>
      </c>
      <c r="E67" s="12">
        <f t="shared" si="7"/>
        <v>0</v>
      </c>
      <c r="F67" s="12">
        <f t="shared" si="8"/>
        <v>0</v>
      </c>
    </row>
    <row r="68" spans="1:6" ht="15.95" customHeight="1" x14ac:dyDescent="0.25">
      <c r="A68" s="13">
        <v>52</v>
      </c>
      <c r="B68" s="14">
        <f t="shared" si="9"/>
        <v>0</v>
      </c>
      <c r="C68" s="14">
        <f t="shared" si="5"/>
        <v>0</v>
      </c>
      <c r="D68" s="14">
        <f t="shared" si="6"/>
        <v>0</v>
      </c>
      <c r="E68" s="14">
        <f t="shared" si="7"/>
        <v>0</v>
      </c>
      <c r="F68" s="14">
        <f t="shared" si="8"/>
        <v>0</v>
      </c>
    </row>
    <row r="69" spans="1:6" ht="15.95" customHeight="1" x14ac:dyDescent="0.25">
      <c r="A69" s="11">
        <v>53</v>
      </c>
      <c r="B69" s="12">
        <f t="shared" si="9"/>
        <v>0</v>
      </c>
      <c r="C69" s="12">
        <f t="shared" si="5"/>
        <v>0</v>
      </c>
      <c r="D69" s="12">
        <f t="shared" si="6"/>
        <v>0</v>
      </c>
      <c r="E69" s="12">
        <f t="shared" si="7"/>
        <v>0</v>
      </c>
      <c r="F69" s="12">
        <f t="shared" si="8"/>
        <v>0</v>
      </c>
    </row>
    <row r="70" spans="1:6" ht="15.95" customHeight="1" x14ac:dyDescent="0.25">
      <c r="A70" s="13">
        <v>54</v>
      </c>
      <c r="B70" s="14">
        <f t="shared" si="9"/>
        <v>0</v>
      </c>
      <c r="C70" s="14">
        <f t="shared" si="5"/>
        <v>0</v>
      </c>
      <c r="D70" s="14">
        <f t="shared" si="6"/>
        <v>0</v>
      </c>
      <c r="E70" s="14">
        <f t="shared" si="7"/>
        <v>0</v>
      </c>
      <c r="F70" s="14">
        <f t="shared" si="8"/>
        <v>0</v>
      </c>
    </row>
    <row r="71" spans="1:6" ht="15.95" customHeight="1" x14ac:dyDescent="0.25">
      <c r="A71" s="11">
        <v>55</v>
      </c>
      <c r="B71" s="12">
        <f t="shared" si="9"/>
        <v>0</v>
      </c>
      <c r="C71" s="12">
        <f t="shared" si="5"/>
        <v>0</v>
      </c>
      <c r="D71" s="12">
        <f t="shared" si="6"/>
        <v>0</v>
      </c>
      <c r="E71" s="12">
        <f t="shared" si="7"/>
        <v>0</v>
      </c>
      <c r="F71" s="12">
        <f t="shared" si="8"/>
        <v>0</v>
      </c>
    </row>
    <row r="72" spans="1:6" ht="15.95" customHeight="1" x14ac:dyDescent="0.25">
      <c r="A72" s="13">
        <v>56</v>
      </c>
      <c r="B72" s="14">
        <f t="shared" si="9"/>
        <v>0</v>
      </c>
      <c r="C72" s="14">
        <f t="shared" si="5"/>
        <v>0</v>
      </c>
      <c r="D72" s="14">
        <f t="shared" si="6"/>
        <v>0</v>
      </c>
      <c r="E72" s="14">
        <f t="shared" si="7"/>
        <v>0</v>
      </c>
      <c r="F72" s="14">
        <f t="shared" si="8"/>
        <v>0</v>
      </c>
    </row>
    <row r="73" spans="1:6" ht="15.95" customHeight="1" x14ac:dyDescent="0.25">
      <c r="A73" s="11">
        <v>57</v>
      </c>
      <c r="B73" s="12">
        <f t="shared" si="9"/>
        <v>0</v>
      </c>
      <c r="C73" s="12">
        <f t="shared" si="5"/>
        <v>0</v>
      </c>
      <c r="D73" s="12">
        <f t="shared" si="6"/>
        <v>0</v>
      </c>
      <c r="E73" s="12">
        <f t="shared" si="7"/>
        <v>0</v>
      </c>
      <c r="F73" s="12">
        <f t="shared" si="8"/>
        <v>0</v>
      </c>
    </row>
    <row r="74" spans="1:6" ht="15.95" customHeight="1" x14ac:dyDescent="0.25">
      <c r="A74" s="13">
        <v>58</v>
      </c>
      <c r="B74" s="14">
        <f t="shared" si="9"/>
        <v>0</v>
      </c>
      <c r="C74" s="14">
        <f t="shared" si="5"/>
        <v>0</v>
      </c>
      <c r="D74" s="14">
        <f t="shared" si="6"/>
        <v>0</v>
      </c>
      <c r="E74" s="14">
        <f t="shared" si="7"/>
        <v>0</v>
      </c>
      <c r="F74" s="14">
        <f t="shared" si="8"/>
        <v>0</v>
      </c>
    </row>
    <row r="75" spans="1:6" ht="15.95" customHeight="1" x14ac:dyDescent="0.25">
      <c r="A75" s="11">
        <v>59</v>
      </c>
      <c r="B75" s="12">
        <f t="shared" si="9"/>
        <v>0</v>
      </c>
      <c r="C75" s="12">
        <f t="shared" si="5"/>
        <v>0</v>
      </c>
      <c r="D75" s="12">
        <f t="shared" si="6"/>
        <v>0</v>
      </c>
      <c r="E75" s="12">
        <f t="shared" si="7"/>
        <v>0</v>
      </c>
      <c r="F75" s="12">
        <f t="shared" si="8"/>
        <v>0</v>
      </c>
    </row>
    <row r="76" spans="1:6" ht="15.95" customHeight="1" x14ac:dyDescent="0.25">
      <c r="A76" s="13">
        <v>60</v>
      </c>
      <c r="B76" s="14">
        <f t="shared" si="9"/>
        <v>0</v>
      </c>
      <c r="C76" s="14">
        <f t="shared" si="5"/>
        <v>0</v>
      </c>
      <c r="D76" s="14">
        <f t="shared" si="6"/>
        <v>0</v>
      </c>
      <c r="E76" s="14">
        <f t="shared" si="7"/>
        <v>0</v>
      </c>
      <c r="F76" s="14">
        <f t="shared" si="8"/>
        <v>0</v>
      </c>
    </row>
    <row r="77" spans="1:6" ht="15.95" customHeight="1" x14ac:dyDescent="0.25">
      <c r="A77" s="11">
        <v>61</v>
      </c>
      <c r="B77" s="12">
        <f t="shared" si="9"/>
        <v>0</v>
      </c>
      <c r="C77" s="12">
        <f t="shared" si="5"/>
        <v>0</v>
      </c>
      <c r="D77" s="12">
        <f t="shared" si="6"/>
        <v>0</v>
      </c>
      <c r="E77" s="12">
        <f t="shared" si="7"/>
        <v>0</v>
      </c>
      <c r="F77" s="12">
        <f t="shared" si="8"/>
        <v>0</v>
      </c>
    </row>
    <row r="78" spans="1:6" ht="15.95" customHeight="1" x14ac:dyDescent="0.25">
      <c r="A78" s="13">
        <v>62</v>
      </c>
      <c r="B78" s="14">
        <f t="shared" si="9"/>
        <v>0</v>
      </c>
      <c r="C78" s="14">
        <f t="shared" si="5"/>
        <v>0</v>
      </c>
      <c r="D78" s="14">
        <f t="shared" si="6"/>
        <v>0</v>
      </c>
      <c r="E78" s="14">
        <f t="shared" si="7"/>
        <v>0</v>
      </c>
      <c r="F78" s="14">
        <f t="shared" si="8"/>
        <v>0</v>
      </c>
    </row>
    <row r="79" spans="1:6" ht="15.95" customHeight="1" x14ac:dyDescent="0.25">
      <c r="A79" s="11">
        <v>63</v>
      </c>
      <c r="B79" s="12">
        <f t="shared" si="9"/>
        <v>0</v>
      </c>
      <c r="C79" s="12">
        <f t="shared" si="5"/>
        <v>0</v>
      </c>
      <c r="D79" s="12">
        <f t="shared" si="6"/>
        <v>0</v>
      </c>
      <c r="E79" s="12">
        <f t="shared" si="7"/>
        <v>0</v>
      </c>
      <c r="F79" s="12">
        <f t="shared" si="8"/>
        <v>0</v>
      </c>
    </row>
    <row r="80" spans="1:6" ht="15.95" customHeight="1" x14ac:dyDescent="0.25">
      <c r="A80" s="13">
        <v>64</v>
      </c>
      <c r="B80" s="14">
        <f t="shared" si="9"/>
        <v>0</v>
      </c>
      <c r="C80" s="14">
        <f t="shared" si="5"/>
        <v>0</v>
      </c>
      <c r="D80" s="14">
        <f t="shared" si="6"/>
        <v>0</v>
      </c>
      <c r="E80" s="14">
        <f t="shared" si="7"/>
        <v>0</v>
      </c>
      <c r="F80" s="14">
        <f t="shared" si="8"/>
        <v>0</v>
      </c>
    </row>
    <row r="81" spans="1:6" ht="15.95" customHeight="1" x14ac:dyDescent="0.25">
      <c r="A81" s="11">
        <v>65</v>
      </c>
      <c r="B81" s="12">
        <f t="shared" si="9"/>
        <v>0</v>
      </c>
      <c r="C81" s="12">
        <f t="shared" ref="C81:C100" si="10">IF(A81&lt;=$B$7,$B$10,0)</f>
        <v>0</v>
      </c>
      <c r="D81" s="12">
        <f t="shared" ref="D81:D100" si="11">IF(A81&lt;=$B$7,B81*$B$5/100,0)</f>
        <v>0</v>
      </c>
      <c r="E81" s="12">
        <f t="shared" ref="E81:E100" si="12">IF(A81&lt;=$B$7,C81-D81,0)</f>
        <v>0</v>
      </c>
      <c r="F81" s="12">
        <f t="shared" ref="F81:F100" si="13">IF(A81&lt;=$B$7,MAX(0,B81-E81),0)</f>
        <v>0</v>
      </c>
    </row>
    <row r="82" spans="1:6" ht="15.95" customHeight="1" x14ac:dyDescent="0.25">
      <c r="A82" s="13">
        <v>66</v>
      </c>
      <c r="B82" s="14">
        <f t="shared" ref="B82:B100" si="14">IF(A82&lt;=$B$7,MAX(0,F81),0)</f>
        <v>0</v>
      </c>
      <c r="C82" s="14">
        <f t="shared" si="10"/>
        <v>0</v>
      </c>
      <c r="D82" s="14">
        <f t="shared" si="11"/>
        <v>0</v>
      </c>
      <c r="E82" s="14">
        <f t="shared" si="12"/>
        <v>0</v>
      </c>
      <c r="F82" s="14">
        <f t="shared" si="13"/>
        <v>0</v>
      </c>
    </row>
    <row r="83" spans="1:6" ht="15.95" customHeight="1" x14ac:dyDescent="0.25">
      <c r="A83" s="11">
        <v>67</v>
      </c>
      <c r="B83" s="12">
        <f t="shared" si="14"/>
        <v>0</v>
      </c>
      <c r="C83" s="12">
        <f t="shared" si="10"/>
        <v>0</v>
      </c>
      <c r="D83" s="12">
        <f t="shared" si="11"/>
        <v>0</v>
      </c>
      <c r="E83" s="12">
        <f t="shared" si="12"/>
        <v>0</v>
      </c>
      <c r="F83" s="12">
        <f t="shared" si="13"/>
        <v>0</v>
      </c>
    </row>
    <row r="84" spans="1:6" ht="15.95" customHeight="1" x14ac:dyDescent="0.25">
      <c r="A84" s="13">
        <v>68</v>
      </c>
      <c r="B84" s="14">
        <f t="shared" si="14"/>
        <v>0</v>
      </c>
      <c r="C84" s="14">
        <f t="shared" si="10"/>
        <v>0</v>
      </c>
      <c r="D84" s="14">
        <f t="shared" si="11"/>
        <v>0</v>
      </c>
      <c r="E84" s="14">
        <f t="shared" si="12"/>
        <v>0</v>
      </c>
      <c r="F84" s="14">
        <f t="shared" si="13"/>
        <v>0</v>
      </c>
    </row>
    <row r="85" spans="1:6" ht="15.95" customHeight="1" x14ac:dyDescent="0.25">
      <c r="A85" s="11">
        <v>69</v>
      </c>
      <c r="B85" s="12">
        <f t="shared" si="14"/>
        <v>0</v>
      </c>
      <c r="C85" s="12">
        <f t="shared" si="10"/>
        <v>0</v>
      </c>
      <c r="D85" s="12">
        <f t="shared" si="11"/>
        <v>0</v>
      </c>
      <c r="E85" s="12">
        <f t="shared" si="12"/>
        <v>0</v>
      </c>
      <c r="F85" s="12">
        <f t="shared" si="13"/>
        <v>0</v>
      </c>
    </row>
    <row r="86" spans="1:6" ht="15.95" customHeight="1" x14ac:dyDescent="0.25">
      <c r="A86" s="13">
        <v>70</v>
      </c>
      <c r="B86" s="14">
        <f t="shared" si="14"/>
        <v>0</v>
      </c>
      <c r="C86" s="14">
        <f t="shared" si="10"/>
        <v>0</v>
      </c>
      <c r="D86" s="14">
        <f t="shared" si="11"/>
        <v>0</v>
      </c>
      <c r="E86" s="14">
        <f t="shared" si="12"/>
        <v>0</v>
      </c>
      <c r="F86" s="14">
        <f t="shared" si="13"/>
        <v>0</v>
      </c>
    </row>
    <row r="87" spans="1:6" ht="15.95" customHeight="1" x14ac:dyDescent="0.25">
      <c r="A87" s="11">
        <v>71</v>
      </c>
      <c r="B87" s="12">
        <f t="shared" si="14"/>
        <v>0</v>
      </c>
      <c r="C87" s="12">
        <f t="shared" si="10"/>
        <v>0</v>
      </c>
      <c r="D87" s="12">
        <f t="shared" si="11"/>
        <v>0</v>
      </c>
      <c r="E87" s="12">
        <f t="shared" si="12"/>
        <v>0</v>
      </c>
      <c r="F87" s="12">
        <f t="shared" si="13"/>
        <v>0</v>
      </c>
    </row>
    <row r="88" spans="1:6" ht="15.95" customHeight="1" x14ac:dyDescent="0.25">
      <c r="A88" s="13">
        <v>72</v>
      </c>
      <c r="B88" s="14">
        <f t="shared" si="14"/>
        <v>0</v>
      </c>
      <c r="C88" s="14">
        <f t="shared" si="10"/>
        <v>0</v>
      </c>
      <c r="D88" s="14">
        <f t="shared" si="11"/>
        <v>0</v>
      </c>
      <c r="E88" s="14">
        <f t="shared" si="12"/>
        <v>0</v>
      </c>
      <c r="F88" s="14">
        <f t="shared" si="13"/>
        <v>0</v>
      </c>
    </row>
    <row r="89" spans="1:6" ht="15.95" customHeight="1" x14ac:dyDescent="0.25">
      <c r="A89" s="11">
        <v>73</v>
      </c>
      <c r="B89" s="12">
        <f t="shared" si="14"/>
        <v>0</v>
      </c>
      <c r="C89" s="12">
        <f t="shared" si="10"/>
        <v>0</v>
      </c>
      <c r="D89" s="12">
        <f t="shared" si="11"/>
        <v>0</v>
      </c>
      <c r="E89" s="12">
        <f t="shared" si="12"/>
        <v>0</v>
      </c>
      <c r="F89" s="12">
        <f t="shared" si="13"/>
        <v>0</v>
      </c>
    </row>
    <row r="90" spans="1:6" ht="15.95" customHeight="1" x14ac:dyDescent="0.25">
      <c r="A90" s="13">
        <v>74</v>
      </c>
      <c r="B90" s="14">
        <f t="shared" si="14"/>
        <v>0</v>
      </c>
      <c r="C90" s="14">
        <f t="shared" si="10"/>
        <v>0</v>
      </c>
      <c r="D90" s="14">
        <f t="shared" si="11"/>
        <v>0</v>
      </c>
      <c r="E90" s="14">
        <f t="shared" si="12"/>
        <v>0</v>
      </c>
      <c r="F90" s="14">
        <f t="shared" si="13"/>
        <v>0</v>
      </c>
    </row>
    <row r="91" spans="1:6" ht="15.95" customHeight="1" x14ac:dyDescent="0.25">
      <c r="A91" s="11">
        <v>75</v>
      </c>
      <c r="B91" s="12">
        <f t="shared" si="14"/>
        <v>0</v>
      </c>
      <c r="C91" s="12">
        <f t="shared" si="10"/>
        <v>0</v>
      </c>
      <c r="D91" s="12">
        <f t="shared" si="11"/>
        <v>0</v>
      </c>
      <c r="E91" s="12">
        <f t="shared" si="12"/>
        <v>0</v>
      </c>
      <c r="F91" s="12">
        <f t="shared" si="13"/>
        <v>0</v>
      </c>
    </row>
    <row r="92" spans="1:6" ht="15.95" customHeight="1" x14ac:dyDescent="0.25">
      <c r="A92" s="13">
        <v>76</v>
      </c>
      <c r="B92" s="14">
        <f t="shared" si="14"/>
        <v>0</v>
      </c>
      <c r="C92" s="14">
        <f t="shared" si="10"/>
        <v>0</v>
      </c>
      <c r="D92" s="14">
        <f t="shared" si="11"/>
        <v>0</v>
      </c>
      <c r="E92" s="14">
        <f t="shared" si="12"/>
        <v>0</v>
      </c>
      <c r="F92" s="14">
        <f t="shared" si="13"/>
        <v>0</v>
      </c>
    </row>
    <row r="93" spans="1:6" ht="15.95" customHeight="1" x14ac:dyDescent="0.25">
      <c r="A93" s="11">
        <v>77</v>
      </c>
      <c r="B93" s="12">
        <f t="shared" si="14"/>
        <v>0</v>
      </c>
      <c r="C93" s="12">
        <f t="shared" si="10"/>
        <v>0</v>
      </c>
      <c r="D93" s="12">
        <f t="shared" si="11"/>
        <v>0</v>
      </c>
      <c r="E93" s="12">
        <f t="shared" si="12"/>
        <v>0</v>
      </c>
      <c r="F93" s="12">
        <f t="shared" si="13"/>
        <v>0</v>
      </c>
    </row>
    <row r="94" spans="1:6" ht="15.95" customHeight="1" x14ac:dyDescent="0.25">
      <c r="A94" s="13">
        <v>78</v>
      </c>
      <c r="B94" s="14">
        <f t="shared" si="14"/>
        <v>0</v>
      </c>
      <c r="C94" s="14">
        <f t="shared" si="10"/>
        <v>0</v>
      </c>
      <c r="D94" s="14">
        <f t="shared" si="11"/>
        <v>0</v>
      </c>
      <c r="E94" s="14">
        <f t="shared" si="12"/>
        <v>0</v>
      </c>
      <c r="F94" s="14">
        <f t="shared" si="13"/>
        <v>0</v>
      </c>
    </row>
    <row r="95" spans="1:6" ht="15.95" customHeight="1" x14ac:dyDescent="0.25">
      <c r="A95" s="11">
        <v>79</v>
      </c>
      <c r="B95" s="12">
        <f t="shared" si="14"/>
        <v>0</v>
      </c>
      <c r="C95" s="12">
        <f t="shared" si="10"/>
        <v>0</v>
      </c>
      <c r="D95" s="12">
        <f t="shared" si="11"/>
        <v>0</v>
      </c>
      <c r="E95" s="12">
        <f t="shared" si="12"/>
        <v>0</v>
      </c>
      <c r="F95" s="12">
        <f t="shared" si="13"/>
        <v>0</v>
      </c>
    </row>
    <row r="96" spans="1:6" ht="15.95" customHeight="1" x14ac:dyDescent="0.25">
      <c r="A96" s="13">
        <v>80</v>
      </c>
      <c r="B96" s="14">
        <f t="shared" si="14"/>
        <v>0</v>
      </c>
      <c r="C96" s="14">
        <f t="shared" si="10"/>
        <v>0</v>
      </c>
      <c r="D96" s="14">
        <f t="shared" si="11"/>
        <v>0</v>
      </c>
      <c r="E96" s="14">
        <f t="shared" si="12"/>
        <v>0</v>
      </c>
      <c r="F96" s="14">
        <f t="shared" si="13"/>
        <v>0</v>
      </c>
    </row>
    <row r="97" spans="1:6" ht="15.95" customHeight="1" x14ac:dyDescent="0.25">
      <c r="A97" s="11">
        <v>81</v>
      </c>
      <c r="B97" s="12">
        <f t="shared" si="14"/>
        <v>0</v>
      </c>
      <c r="C97" s="12">
        <f t="shared" si="10"/>
        <v>0</v>
      </c>
      <c r="D97" s="12">
        <f t="shared" si="11"/>
        <v>0</v>
      </c>
      <c r="E97" s="12">
        <f t="shared" si="12"/>
        <v>0</v>
      </c>
      <c r="F97" s="12">
        <f t="shared" si="13"/>
        <v>0</v>
      </c>
    </row>
    <row r="98" spans="1:6" ht="15.95" customHeight="1" x14ac:dyDescent="0.25">
      <c r="A98" s="13">
        <v>82</v>
      </c>
      <c r="B98" s="14">
        <f t="shared" si="14"/>
        <v>0</v>
      </c>
      <c r="C98" s="14">
        <f t="shared" si="10"/>
        <v>0</v>
      </c>
      <c r="D98" s="14">
        <f t="shared" si="11"/>
        <v>0</v>
      </c>
      <c r="E98" s="14">
        <f t="shared" si="12"/>
        <v>0</v>
      </c>
      <c r="F98" s="14">
        <f t="shared" si="13"/>
        <v>0</v>
      </c>
    </row>
    <row r="99" spans="1:6" ht="15.95" customHeight="1" x14ac:dyDescent="0.25">
      <c r="A99" s="11">
        <v>83</v>
      </c>
      <c r="B99" s="12">
        <f t="shared" si="14"/>
        <v>0</v>
      </c>
      <c r="C99" s="12">
        <f t="shared" si="10"/>
        <v>0</v>
      </c>
      <c r="D99" s="12">
        <f t="shared" si="11"/>
        <v>0</v>
      </c>
      <c r="E99" s="12">
        <f t="shared" si="12"/>
        <v>0</v>
      </c>
      <c r="F99" s="12">
        <f t="shared" si="13"/>
        <v>0</v>
      </c>
    </row>
    <row r="100" spans="1:6" ht="15.95" customHeight="1" x14ac:dyDescent="0.25">
      <c r="A100" s="13">
        <v>84</v>
      </c>
      <c r="B100" s="14">
        <f t="shared" si="14"/>
        <v>0</v>
      </c>
      <c r="C100" s="14">
        <f t="shared" si="10"/>
        <v>0</v>
      </c>
      <c r="D100" s="14">
        <f t="shared" si="11"/>
        <v>0</v>
      </c>
      <c r="E100" s="14">
        <f t="shared" si="12"/>
        <v>0</v>
      </c>
      <c r="F100" s="14">
        <f t="shared" si="13"/>
        <v>0</v>
      </c>
    </row>
    <row r="102" spans="1:6" x14ac:dyDescent="0.25">
      <c r="A102" s="22" t="s">
        <v>167</v>
      </c>
      <c r="B102" s="23"/>
      <c r="C102" s="23"/>
      <c r="D102" s="23"/>
      <c r="E102" s="23"/>
      <c r="F102" s="23"/>
    </row>
    <row r="104" spans="1:6" ht="15.95" customHeight="1" x14ac:dyDescent="0.25"/>
    <row r="105" spans="1:6" ht="33.950000000000003" customHeight="1" x14ac:dyDescent="0.25">
      <c r="A105" s="27" t="s">
        <v>168</v>
      </c>
      <c r="B105" s="23"/>
      <c r="C105" s="23"/>
      <c r="D105" s="23"/>
      <c r="E105" s="23"/>
      <c r="F105" s="23"/>
    </row>
    <row r="106" spans="1:6" ht="8.1" customHeight="1" x14ac:dyDescent="0.25"/>
    <row r="107" spans="1:6" ht="21.95" customHeight="1" x14ac:dyDescent="0.25">
      <c r="A107" s="24" t="s">
        <v>169</v>
      </c>
      <c r="B107" s="23"/>
      <c r="C107" s="23"/>
      <c r="D107" s="23"/>
      <c r="E107" s="23"/>
      <c r="F107" s="23"/>
    </row>
    <row r="108" spans="1:6" ht="24" customHeight="1" x14ac:dyDescent="0.25">
      <c r="A108" s="3" t="s">
        <v>170</v>
      </c>
      <c r="B108" s="15">
        <v>0</v>
      </c>
      <c r="C108" s="5" t="s">
        <v>171</v>
      </c>
    </row>
    <row r="109" spans="1:6" ht="24" customHeight="1" x14ac:dyDescent="0.25">
      <c r="A109" s="3" t="s">
        <v>172</v>
      </c>
      <c r="B109" s="15">
        <v>0</v>
      </c>
      <c r="C109" s="5" t="s">
        <v>173</v>
      </c>
    </row>
    <row r="110" spans="1:6" ht="24" customHeight="1" x14ac:dyDescent="0.25">
      <c r="A110" s="3" t="s">
        <v>174</v>
      </c>
      <c r="B110" s="16">
        <v>0</v>
      </c>
      <c r="C110" s="5" t="s">
        <v>175</v>
      </c>
    </row>
    <row r="111" spans="1:6" ht="8.1" customHeight="1" x14ac:dyDescent="0.25"/>
    <row r="112" spans="1:6" ht="26.1" customHeight="1" x14ac:dyDescent="0.25">
      <c r="A112" s="8" t="s">
        <v>176</v>
      </c>
      <c r="B112" s="9">
        <f>IFERROR(B109/B110,0)</f>
        <v>0</v>
      </c>
    </row>
    <row r="113" spans="1:6" ht="26.1" customHeight="1" x14ac:dyDescent="0.25">
      <c r="A113" s="8" t="s">
        <v>177</v>
      </c>
      <c r="B113" s="17">
        <f>IFERROR(RATE(B110,-B112,B108)*100,0)</f>
        <v>0</v>
      </c>
    </row>
    <row r="114" spans="1:6" ht="26.1" customHeight="1" x14ac:dyDescent="0.25">
      <c r="A114" s="8" t="s">
        <v>178</v>
      </c>
      <c r="B114" s="17">
        <f>IFERROR(B113*12,0)</f>
        <v>0</v>
      </c>
    </row>
    <row r="115" spans="1:6" ht="14.1" customHeight="1" x14ac:dyDescent="0.25"/>
    <row r="116" spans="1:6" ht="21.95" customHeight="1" x14ac:dyDescent="0.25">
      <c r="A116" s="24" t="s">
        <v>179</v>
      </c>
      <c r="B116" s="23"/>
      <c r="C116" s="23"/>
      <c r="D116" s="23"/>
      <c r="E116" s="23"/>
      <c r="F116" s="23"/>
    </row>
    <row r="117" spans="1:6" ht="24" customHeight="1" x14ac:dyDescent="0.25">
      <c r="A117" s="3" t="s">
        <v>170</v>
      </c>
      <c r="B117" s="15">
        <v>0</v>
      </c>
      <c r="C117" s="5" t="s">
        <v>171</v>
      </c>
    </row>
    <row r="118" spans="1:6" ht="24" customHeight="1" x14ac:dyDescent="0.25">
      <c r="A118" s="3" t="s">
        <v>180</v>
      </c>
      <c r="B118" s="15">
        <v>0</v>
      </c>
      <c r="C118" s="5" t="s">
        <v>181</v>
      </c>
    </row>
    <row r="119" spans="1:6" ht="24" customHeight="1" x14ac:dyDescent="0.25">
      <c r="A119" s="3" t="s">
        <v>174</v>
      </c>
      <c r="B119" s="16">
        <v>0</v>
      </c>
      <c r="C119" s="5" t="s">
        <v>175</v>
      </c>
    </row>
    <row r="120" spans="1:6" ht="8.1" customHeight="1" x14ac:dyDescent="0.25"/>
    <row r="121" spans="1:6" ht="26.1" customHeight="1" x14ac:dyDescent="0.25">
      <c r="A121" s="8" t="s">
        <v>182</v>
      </c>
      <c r="B121" s="9">
        <f>IFERROR(B118*B119,0)</f>
        <v>0</v>
      </c>
    </row>
    <row r="122" spans="1:6" ht="26.1" customHeight="1" x14ac:dyDescent="0.25">
      <c r="A122" s="8" t="s">
        <v>177</v>
      </c>
      <c r="B122" s="17">
        <f>IFERROR(RATE(B119,-B118,B117)*100,0)</f>
        <v>0</v>
      </c>
    </row>
    <row r="123" spans="1:6" ht="26.1" customHeight="1" x14ac:dyDescent="0.25">
      <c r="A123" s="8" t="s">
        <v>178</v>
      </c>
      <c r="B123" s="17">
        <f>IFERROR(B122*12,0)</f>
        <v>0</v>
      </c>
    </row>
    <row r="125" spans="1:6" x14ac:dyDescent="0.25">
      <c r="A125" s="22" t="s">
        <v>183</v>
      </c>
      <c r="B125" s="23"/>
      <c r="C125" s="23"/>
      <c r="D125" s="23"/>
      <c r="E125" s="23"/>
      <c r="F125" s="23"/>
    </row>
  </sheetData>
  <mergeCells count="9">
    <mergeCell ref="A125:F125"/>
    <mergeCell ref="A107:F107"/>
    <mergeCell ref="A102:F102"/>
    <mergeCell ref="A1:F1"/>
    <mergeCell ref="A116:F116"/>
    <mergeCell ref="A9:F9"/>
    <mergeCell ref="A105:F105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Registro Diario</vt:lpstr>
      <vt:lpstr>Hoja1</vt:lpstr>
      <vt:lpstr>Simulador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Jeffer Arias</cp:lastModifiedBy>
  <dcterms:created xsi:type="dcterms:W3CDTF">2026-08-03T23:05:58Z</dcterms:created>
  <dcterms:modified xsi:type="dcterms:W3CDTF">2026-08-04T00:50:28Z</dcterms:modified>
</cp:coreProperties>
</file>
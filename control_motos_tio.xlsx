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4" yWindow="-104" windowWidth="22326" windowHeight="11947" tabRatio="600" firstSheet="0" activeTab="1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>
    <definedName name="_xlnm._FilterDatabase" localSheetId="1" hidden="1">'Registro Diario'!$A$1:$D$1092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:mm:ss"/>
    <numFmt numFmtId="165" formatCode="0.00\ &quot;%&quot;"/>
    <numFmt numFmtId="166" formatCode="dd/mm/yyyy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4EFE2"/>
      <sz val="11"/>
    </font>
    <font>
      <name val="Calibri"/>
      <family val="2"/>
      <b val="1"/>
      <color rgb="FFF4EFE2"/>
      <sz val="16"/>
    </font>
    <font>
      <name val="Calibri"/>
      <family val="2"/>
      <b val="1"/>
      <color rgb="FFF4EFE2"/>
      <sz val="11"/>
    </font>
    <font>
      <name val="Calibri"/>
      <family val="2"/>
      <b val="1"/>
      <sz val="10"/>
    </font>
    <font>
      <name val="Calibri"/>
      <family val="2"/>
      <b val="1"/>
      <sz val="11"/>
    </font>
    <font>
      <name val="Calibri"/>
      <family val="2"/>
      <i val="1"/>
      <color rgb="FF888888"/>
      <sz val="9"/>
    </font>
    <font>
      <name val="Calibri"/>
      <family val="2"/>
      <b val="1"/>
      <color rgb="FF1B4332"/>
      <sz val="12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i val="1"/>
      <color rgb="FF555555"/>
      <sz val="9"/>
    </font>
    <font>
      <name val="Calibri"/>
      <family val="2"/>
      <b val="1"/>
      <color rgb="FFF4EFE2"/>
      <sz val="14"/>
    </font>
    <font>
      <name val="Calibri"/>
      <family val="2"/>
      <b val="1"/>
      <color rgb="FF7B3F00"/>
      <sz val="12"/>
    </font>
  </fonts>
  <fills count="14">
    <fill>
      <patternFill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3" fontId="5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4" fontId="1" fillId="2" borderId="0" applyAlignment="1" pivotButton="0" quotePrefix="0" xfId="0">
      <alignment horizontal="center" vertical="center"/>
    </xf>
    <xf numFmtId="166" fontId="0" fillId="12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4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14" fontId="0" fillId="13" borderId="0" applyAlignment="1" pivotButton="0" quotePrefix="0" xfId="0">
      <alignment horizontal="center" vertical="center"/>
    </xf>
    <xf numFmtId="0" fontId="0" fillId="12" borderId="0" pivotButton="0" quotePrefix="0" xfId="0"/>
    <xf numFmtId="164" fontId="0" fillId="12" borderId="0" pivotButton="0" quotePrefix="0" xfId="0"/>
    <xf numFmtId="0" fontId="0" fillId="13" borderId="0" pivotButton="0" quotePrefix="0" xfId="0"/>
    <xf numFmtId="164" fontId="0" fillId="13" borderId="0" pivotButton="0" quotePrefix="0" xfId="0"/>
    <xf numFmtId="0" fontId="0" fillId="12" borderId="0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166" fontId="0" fillId="12" borderId="0" applyAlignment="1" pivotButton="0" quotePrefix="0" xfId="0">
      <alignment horizontal="center" vertical="center"/>
    </xf>
    <xf numFmtId="167" fontId="0" fillId="0" borderId="0" pivotButton="0" quotePrefix="0" xfId="0"/>
    <xf numFmtId="165" fontId="12" fillId="6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opLeftCell="A10" zoomScale="80" zoomScaleNormal="80" workbookViewId="0">
      <selection activeCell="E40" sqref="E40"/>
    </sheetView>
  </sheetViews>
  <sheetFormatPr baseColWidth="10" defaultColWidth="9.09765625" defaultRowHeight="14.4"/>
  <cols>
    <col width="28.296875" bestFit="1" customWidth="1" style="33" min="1" max="1"/>
    <col width="13.69921875" bestFit="1" customWidth="1" style="33" min="2" max="2"/>
    <col width="8.59765625" bestFit="1" customWidth="1" style="33" min="3" max="3"/>
    <col width="17.09765625" bestFit="1" customWidth="1" style="33" min="4" max="4"/>
    <col width="125.59765625" bestFit="1" customWidth="1" style="33" min="5" max="5"/>
    <col width="11.8984375" bestFit="1" customWidth="1" style="33" min="6" max="6"/>
    <col width="15.296875" bestFit="1" customWidth="1" style="33" min="7" max="7"/>
    <col width="12.3984375" customWidth="1" style="33" min="8" max="8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  <c r="G1" s="1" t="inlineStr">
        <is>
          <t>Telefono coductor</t>
        </is>
      </c>
    </row>
    <row r="2" customFormat="1" s="27">
      <c r="A2" s="27" t="inlineStr">
        <is>
          <t>Dorlys Jose Julio</t>
        </is>
      </c>
      <c r="B2" s="27" t="inlineStr">
        <is>
          <t>Bajaj EYO 11H</t>
        </is>
      </c>
      <c r="C2" s="27" t="inlineStr">
        <is>
          <t>EYO11H</t>
        </is>
      </c>
      <c r="D2" s="28" t="n">
        <v>45644</v>
      </c>
      <c r="E2" s="27" t="inlineStr">
        <is>
          <t>Tel: 3205376845 | 595000 inicial</t>
        </is>
      </c>
      <c r="F2" s="27" t="n">
        <v>64</v>
      </c>
    </row>
    <row r="3" customFormat="1" s="27">
      <c r="A3" s="27" t="inlineStr">
        <is>
          <t>Elkin Espitia Payares</t>
        </is>
      </c>
      <c r="B3" s="27" t="inlineStr">
        <is>
          <t>Bajaj EYO 06H</t>
        </is>
      </c>
      <c r="C3" s="27" t="inlineStr">
        <is>
          <t>EYO06H</t>
        </is>
      </c>
      <c r="D3" s="28" t="n">
        <v>45652</v>
      </c>
      <c r="E3" s="27" t="inlineStr">
        <is>
          <t>Tel: 3003xx | 5980000</t>
        </is>
      </c>
      <c r="F3" s="27" t="n">
        <v>64</v>
      </c>
      <c r="G3" s="27" t="n">
        <v>3005106102</v>
      </c>
      <c r="H3" s="27" t="inlineStr">
        <is>
          <t>enviar factura</t>
        </is>
      </c>
    </row>
    <row r="4" customFormat="1" s="27">
      <c r="A4" s="27" t="inlineStr">
        <is>
          <t>Juan Andres De Arco</t>
        </is>
      </c>
      <c r="B4" s="27" t="inlineStr">
        <is>
          <t>Bajaj KOO 16H</t>
        </is>
      </c>
      <c r="C4" s="27" t="inlineStr">
        <is>
          <t>KOO16H</t>
        </is>
      </c>
      <c r="D4" s="28" t="n">
        <v>45662</v>
      </c>
      <c r="E4" s="27" t="inlineStr">
        <is>
          <t>Tel: 3202386294 | 5950000 inicial | 63 pagos (1 pendiente)</t>
        </is>
      </c>
      <c r="F4" s="27" t="n">
        <v>64</v>
      </c>
      <c r="G4" s="27" t="n">
        <v>3023862943</v>
      </c>
      <c r="H4" s="27" t="inlineStr">
        <is>
          <t>no ha compeltado</t>
        </is>
      </c>
    </row>
    <row r="5" customFormat="1" s="27">
      <c r="A5" s="27" t="inlineStr">
        <is>
          <t>Jorge Luis Reyes</t>
        </is>
      </c>
      <c r="B5" s="27" t="inlineStr">
        <is>
          <t>Bajaj KOO B1H</t>
        </is>
      </c>
      <c r="C5" s="27" t="inlineStr">
        <is>
          <t>KOOB1H</t>
        </is>
      </c>
      <c r="D5" s="28" t="n">
        <v>45667</v>
      </c>
      <c r="E5" s="27" t="inlineStr">
        <is>
          <t>Tel: 3202841723 / 3005685892 | 5950000 inicial | CONTRATO FINALIZADO</t>
        </is>
      </c>
      <c r="F5" s="27" t="n">
        <v>64</v>
      </c>
    </row>
    <row r="6" customFormat="1" s="27">
      <c r="A6" s="27" t="inlineStr">
        <is>
          <t>Henry Junior</t>
        </is>
      </c>
      <c r="B6" s="27" t="inlineStr">
        <is>
          <t>Bajaj UYL 39H</t>
        </is>
      </c>
      <c r="C6" s="27" t="inlineStr">
        <is>
          <t>UYL39H</t>
        </is>
      </c>
      <c r="D6" s="28" t="n">
        <v>46014</v>
      </c>
      <c r="E6" s="27" t="inlineStr">
        <is>
          <t>Tel: 3005685892 | 6806000 inicial | 72 cuotas/18 meses | Moto anterior OYL39H robada, repuesta dic-2025</t>
        </is>
      </c>
      <c r="F6" s="27" t="n">
        <v>72</v>
      </c>
      <c r="G6" s="27" t="n">
        <v>3235288362</v>
      </c>
      <c r="H6" s="27" t="inlineStr">
        <is>
          <t>10 de julio</t>
        </is>
      </c>
      <c r="I6" s="27" t="n">
        <v>34000</v>
      </c>
      <c r="J6" s="27" t="inlineStr">
        <is>
          <t xml:space="preserve">13 meses </t>
        </is>
      </c>
      <c r="K6" s="27" t="inlineStr">
        <is>
          <t>diario</t>
        </is>
      </c>
      <c r="L6" s="27">
        <f>13*4</f>
        <v/>
      </c>
      <c r="M6" s="27" t="inlineStr">
        <is>
          <t>mandar todas las facturas</t>
        </is>
      </c>
    </row>
    <row r="7" customFormat="1" s="27">
      <c r="A7" s="27" t="inlineStr">
        <is>
          <t>Duvan Enrique</t>
        </is>
      </c>
      <c r="B7" s="27" t="inlineStr">
        <is>
          <t>Bajaj KEB 58H</t>
        </is>
      </c>
      <c r="C7" s="27" t="inlineStr">
        <is>
          <t>KEB58H</t>
        </is>
      </c>
      <c r="D7" s="28" t="n">
        <v>45705</v>
      </c>
      <c r="E7" s="27" t="inlineStr">
        <is>
          <t>Tel: 3126959090 | 15360000 total | 16 meses | 63 pagos (1 pendiente)</t>
        </is>
      </c>
      <c r="F7" s="27" t="n">
        <v>64</v>
      </c>
    </row>
    <row r="8" customFormat="1" s="27">
      <c r="A8" s="27" t="inlineStr">
        <is>
          <t>Wilmar Ivis</t>
        </is>
      </c>
      <c r="B8" s="27" t="inlineStr">
        <is>
          <t>Bajaj KEW 27H</t>
        </is>
      </c>
      <c r="C8" s="27" t="inlineStr">
        <is>
          <t>KEW27H</t>
        </is>
      </c>
      <c r="D8" s="28" t="n">
        <v>45751</v>
      </c>
      <c r="E8" s="27" t="inlineStr">
        <is>
          <t>Tel: 3233311964 | 15360000 total | 64 cuotas | 59 pagos (5 pendientes)</t>
        </is>
      </c>
      <c r="F8" s="27" t="n">
        <v>64</v>
      </c>
      <c r="G8" s="27" t="n">
        <v>3233311964</v>
      </c>
    </row>
    <row r="9" customFormat="1" s="27">
      <c r="A9" s="27" t="inlineStr">
        <is>
          <t>Jesus Morales Yuliana Olivares</t>
        </is>
      </c>
      <c r="B9" s="27" t="inlineStr">
        <is>
          <t>Bajaj KFK 17H</t>
        </is>
      </c>
      <c r="C9" s="27" t="inlineStr">
        <is>
          <t>KFK17H</t>
        </is>
      </c>
      <c r="D9" s="28" t="n">
        <v>45785</v>
      </c>
      <c r="E9" s="27" t="inlineStr">
        <is>
          <t>Tel: 3465625710 | 17280000 total | 18 meses | 52 pagos (20 pendientes)</t>
        </is>
      </c>
      <c r="F9" s="27" t="n">
        <v>72</v>
      </c>
      <c r="G9" s="27" t="n">
        <v>3016562571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  <c r="G10" t="inlineStr">
        <is>
          <t>ya pago, colocar total 15 de julio</t>
        </is>
      </c>
    </row>
    <row r="11" customFormat="1" s="27">
      <c r="A11" s="27" t="inlineStr">
        <is>
          <t>Chacal Caterine</t>
        </is>
      </c>
      <c r="B11" s="27" t="inlineStr">
        <is>
          <t>Bajaj OSZ 43H</t>
        </is>
      </c>
      <c r="C11" s="27" t="inlineStr">
        <is>
          <t>OSZ43H</t>
        </is>
      </c>
      <c r="D11" s="28" t="n">
        <v>45790</v>
      </c>
      <c r="E11" s="27" t="inlineStr">
        <is>
          <t>Tel: 3245780119 | 17280000 total | 72 cuotas | 50 pagos (22 pendientes)</t>
        </is>
      </c>
      <c r="F11" s="27" t="n">
        <v>72</v>
      </c>
      <c r="G11" s="27" t="n">
        <v>3005764058</v>
      </c>
    </row>
    <row r="12" customFormat="1" s="27">
      <c r="A12" s="27" t="inlineStr">
        <is>
          <t>Wilian Junior Darlis Esther</t>
        </is>
      </c>
      <c r="B12" s="27" t="inlineStr">
        <is>
          <t>Bajaj OTE 02H</t>
        </is>
      </c>
      <c r="C12" s="27" t="inlineStr">
        <is>
          <t>OTE02H</t>
        </is>
      </c>
      <c r="D12" s="28" t="n">
        <v>45799</v>
      </c>
      <c r="E12" s="27" t="inlineStr">
        <is>
          <t>Tel: 3239896985 | 14400000 total | 60 cuotas | 34 pagos (26 pendientes)</t>
        </is>
      </c>
      <c r="F12" s="27" t="n">
        <v>60</v>
      </c>
      <c r="G12" s="27" t="inlineStr">
        <is>
          <t>no tiene</t>
        </is>
      </c>
    </row>
    <row r="13" customFormat="1" s="27">
      <c r="A13" s="27" t="inlineStr">
        <is>
          <t>Darwin Yaimis Ysabel</t>
        </is>
      </c>
      <c r="B13" s="27" t="inlineStr">
        <is>
          <t>Bajaj OTE 80H</t>
        </is>
      </c>
      <c r="C13" s="27" t="inlineStr">
        <is>
          <t>OTE80H</t>
        </is>
      </c>
      <c r="D13" s="28" t="n">
        <v>45802</v>
      </c>
      <c r="E13" s="27" t="inlineStr">
        <is>
          <t>15360000 total | 64 cuotas | 54 pagos (10 pendientes)</t>
        </is>
      </c>
      <c r="F13" s="27" t="n">
        <v>64</v>
      </c>
      <c r="G13" s="27" t="n">
        <v>3246018915</v>
      </c>
    </row>
    <row r="14" customFormat="1" s="27">
      <c r="A14" s="27" t="inlineStr">
        <is>
          <t>Kevin Rodriguez</t>
        </is>
      </c>
      <c r="B14" s="27" t="inlineStr">
        <is>
          <t>Bajaj OXO 04H</t>
        </is>
      </c>
      <c r="C14" s="27" t="inlineStr">
        <is>
          <t>OXO04H</t>
        </is>
      </c>
      <c r="D14" s="28" t="n">
        <v>45804</v>
      </c>
      <c r="E14" s="27" t="inlineStr">
        <is>
          <t>20160000 total | 84 cuotas/21 meses | pagos bisemanales | 29 pagos (55 pendientes)</t>
        </is>
      </c>
      <c r="F14" s="27" t="n">
        <v>84</v>
      </c>
      <c r="G14" s="27" t="n">
        <v>48513310431</v>
      </c>
    </row>
    <row r="15" customFormat="1" s="27">
      <c r="A15" s="27" t="inlineStr">
        <is>
          <t>Negro Maria Jose</t>
        </is>
      </c>
      <c r="B15" s="27" t="inlineStr">
        <is>
          <t>Bajaj OTE 68H</t>
        </is>
      </c>
      <c r="C15" s="27" t="inlineStr">
        <is>
          <t>OTE68H</t>
        </is>
      </c>
      <c r="D15" s="28" t="n">
        <v>45769</v>
      </c>
      <c r="E15" s="27" t="inlineStr">
        <is>
          <t>15360000 total | 64 cuotas | 51 pagos (13 pendientes)</t>
        </is>
      </c>
      <c r="F15" s="27" t="n">
        <v>64</v>
      </c>
      <c r="G15" s="27" t="n">
        <v>3017986930</v>
      </c>
    </row>
    <row r="16" customFormat="1" s="27">
      <c r="A16" s="27" t="inlineStr">
        <is>
          <t>Sr Pedro</t>
        </is>
      </c>
      <c r="B16" s="27" t="inlineStr">
        <is>
          <t>Bajaj OTG 82H</t>
        </is>
      </c>
      <c r="C16" s="27" t="inlineStr">
        <is>
          <t>OTG82H</t>
        </is>
      </c>
      <c r="D16" s="28" t="n">
        <v>45812</v>
      </c>
      <c r="E16" s="27" t="inlineStr">
        <is>
          <t>Fotos 27-28 | Ref: Katherin Estor 3137781909 | 69 cuotas | 54 pagos (15 pendientes)</t>
        </is>
      </c>
      <c r="F16" s="27" t="n">
        <v>69</v>
      </c>
      <c r="G16" s="27" t="n">
        <v>3207690394</v>
      </c>
    </row>
    <row r="17" customFormat="1" s="27">
      <c r="A17" s="27" t="inlineStr">
        <is>
          <t>Lucho Laura Nosu</t>
        </is>
      </c>
      <c r="B17" s="27" t="inlineStr">
        <is>
          <t>Bajaj OTF 59H</t>
        </is>
      </c>
      <c r="C17" s="27" t="inlineStr">
        <is>
          <t>OTF59H</t>
        </is>
      </c>
      <c r="D17" s="28" t="n">
        <v>45808</v>
      </c>
      <c r="E17" s="27" t="inlineStr">
        <is>
          <t>Tel: 3147356412 | 15360000 total | 64 cuotas | 51 pagos (13 pendientes)</t>
        </is>
      </c>
      <c r="F17" s="27" t="n">
        <v>64</v>
      </c>
      <c r="G17" s="27" t="n">
        <v>3235367102</v>
      </c>
    </row>
    <row r="18" customFormat="1" s="27">
      <c r="A18" s="27" t="inlineStr">
        <is>
          <t>Roberto</t>
        </is>
      </c>
      <c r="B18" s="27" t="inlineStr">
        <is>
          <t>Bajaj OTR 29H</t>
        </is>
      </c>
      <c r="C18" s="27" t="inlineStr">
        <is>
          <t>OTR29H</t>
        </is>
      </c>
      <c r="D18" s="28" t="n">
        <v>45832</v>
      </c>
      <c r="E18" s="27" t="inlineStr">
        <is>
          <t>Ref: Nik amigo De Guillermo / Flaco Hobiter Edinson | 15360000 total | 64 cuotas | 43 pagos (21 pendientes)</t>
        </is>
      </c>
      <c r="F18" s="27" t="n">
        <v>64</v>
      </c>
      <c r="G18" s="27" t="n">
        <v>3017355501</v>
      </c>
    </row>
    <row r="19" customFormat="1" s="27">
      <c r="A19" s="27" t="inlineStr">
        <is>
          <t>Brayan</t>
        </is>
      </c>
      <c r="B19" s="27" t="inlineStr">
        <is>
          <t>Bajaj OUA 19H</t>
        </is>
      </c>
      <c r="C19" s="27" t="inlineStr">
        <is>
          <t>OUA19H</t>
        </is>
      </c>
      <c r="D19" s="28" t="n">
        <v>45855</v>
      </c>
      <c r="E19" s="27" t="inlineStr">
        <is>
          <t>15360000 total | 64 cuotas | 43 pagos (21 pendientes)</t>
        </is>
      </c>
      <c r="F19" s="27" t="n">
        <v>64</v>
      </c>
      <c r="G19" s="27" t="n">
        <v>3246380747</v>
      </c>
    </row>
    <row r="20" customFormat="1" s="27">
      <c r="A20" s="27" t="inlineStr">
        <is>
          <t>Gustavo Primo</t>
        </is>
      </c>
      <c r="B20" s="27" t="inlineStr">
        <is>
          <t>Bajaj OON 66H</t>
        </is>
      </c>
      <c r="C20" s="27" t="inlineStr">
        <is>
          <t>OON66H</t>
        </is>
      </c>
      <c r="D20" s="28" t="n">
        <v>45750</v>
      </c>
      <c r="E20" s="27" t="inlineStr">
        <is>
          <t>moto 19 | 17 meses | 16320000 total | 68 cuotas | 68 pagos (0 pendientes)</t>
        </is>
      </c>
      <c r="F20" s="27" t="n">
        <v>68</v>
      </c>
      <c r="G20" s="27" t="n">
        <v>3012250294</v>
      </c>
    </row>
    <row r="21" customFormat="1" s="27">
      <c r="A21" s="27" t="inlineStr">
        <is>
          <t>Erik</t>
        </is>
      </c>
      <c r="B21" s="27" t="inlineStr">
        <is>
          <t>Bajaj OUN 39H</t>
        </is>
      </c>
      <c r="C21" s="27" t="inlineStr">
        <is>
          <t>OUN39H</t>
        </is>
      </c>
      <c r="D21" s="28" t="n">
        <v>45872</v>
      </c>
      <c r="E21" s="27" t="inlineStr">
        <is>
          <t>moto 20 | 36 meses | 13968000 total | 36 cuotas | tarifa 384000/mes | ver fotos 37-38 para pagos adicionales</t>
        </is>
      </c>
      <c r="F21" s="27" t="n">
        <v>36</v>
      </c>
      <c r="G21" s="31" t="n">
        <v>3245613478</v>
      </c>
    </row>
    <row r="22" customFormat="1" s="27">
      <c r="A22" s="27" t="inlineStr">
        <is>
          <t>Efrain - hija</t>
        </is>
      </c>
      <c r="B22" s="27" t="inlineStr">
        <is>
          <t>Bajaj OTZ 01H</t>
        </is>
      </c>
      <c r="C22" s="27" t="inlineStr">
        <is>
          <t>OTZ81H</t>
        </is>
      </c>
      <c r="D22" s="28" t="n">
        <v>45902</v>
      </c>
      <c r="E22" s="27" t="inlineStr">
        <is>
          <t>Amigo de Guillo | 21 meses | 20160000 total | 84 cuotas | subtotal cuaderno ~11.280.000 (~47 cuotas) | algunos pagos son multiples por fila</t>
        </is>
      </c>
      <c r="F22" s="27" t="n">
        <v>84</v>
      </c>
      <c r="G22" s="27" t="n">
        <v>3003111956</v>
      </c>
    </row>
    <row r="23" customFormat="1" s="27">
      <c r="A23" s="27" t="inlineStr">
        <is>
          <t>Katherine</t>
        </is>
      </c>
      <c r="B23" s="27" t="inlineStr">
        <is>
          <t>Bajaj OUB 81H</t>
        </is>
      </c>
      <c r="C23" s="27" t="inlineStr">
        <is>
          <t>OUB81H</t>
        </is>
      </c>
      <c r="D23" s="28" t="n">
        <v>45923</v>
      </c>
      <c r="E23" s="27" t="inlineStr">
        <is>
          <t>del Choco | Tel: 3205570847 | 21 meses | 20160000 total | 84 cuotas | subtotal cuaderno 11.520.000 (48 cuotas) | 41 registradas fotos 38+39</t>
        </is>
      </c>
      <c r="F23" s="27" t="n">
        <v>84</v>
      </c>
      <c r="G23" s="27" t="n">
        <v>3026618786</v>
      </c>
    </row>
    <row r="24" customFormat="1" s="27">
      <c r="A24" s="27" t="inlineStr">
        <is>
          <t>Ana Milena-Juan David</t>
        </is>
      </c>
      <c r="B24" s="27" t="inlineStr">
        <is>
          <t>Bajaj UPY 65H</t>
        </is>
      </c>
      <c r="C24" s="27" t="inlineStr">
        <is>
          <t>UPY65H</t>
        </is>
      </c>
      <c r="D24" s="28" t="n">
        <v>46045</v>
      </c>
      <c r="E24" s="27" t="inlineStr">
        <is>
          <t>Foto 40 | 25 pagos registrados | cuotas pendientes a confirmar</t>
        </is>
      </c>
      <c r="F24" s="27" t="n">
        <v>64</v>
      </c>
      <c r="G24" s="27" t="n">
        <v>3021121287</v>
      </c>
    </row>
    <row r="25" customFormat="1" s="27">
      <c r="A25" s="27" t="inlineStr">
        <is>
          <t>Sr Luis</t>
        </is>
      </c>
      <c r="B25" s="27" t="inlineStr">
        <is>
          <t>Bajaj UYZ 32H</t>
        </is>
      </c>
      <c r="C25" s="27" t="inlineStr">
        <is>
          <t>UYZ32H</t>
        </is>
      </c>
      <c r="D25" s="28" t="n">
        <v>46027</v>
      </c>
      <c r="E25" s="27" t="inlineStr">
        <is>
          <t>Foto 41 | 14 pagos registrados | nota: calibrar moto</t>
        </is>
      </c>
      <c r="F25" s="27" t="n">
        <v>64</v>
      </c>
      <c r="G25" s="27" t="n">
        <v>3026935042</v>
      </c>
    </row>
    <row r="26" customFormat="1" s="29">
      <c r="A26" s="29" t="inlineStr">
        <is>
          <t>Manuel Olga</t>
        </is>
      </c>
      <c r="B26" s="29" t="inlineStr">
        <is>
          <t>Bajaj UYZ 39H</t>
        </is>
      </c>
      <c r="C26" s="29" t="inlineStr">
        <is>
          <t>UYZ39H</t>
        </is>
      </c>
      <c r="D26" s="30" t="n">
        <v>46065</v>
      </c>
      <c r="E26" s="29" t="inlineStr">
        <is>
          <t>Foto 42 | 18 meses | 72 cuotas | 18 pagos registrados</t>
        </is>
      </c>
      <c r="F26" s="29" t="n">
        <v>72</v>
      </c>
    </row>
    <row r="27" customFormat="1" s="27">
      <c r="A27" s="27" t="inlineStr">
        <is>
          <t>Jorge Estrada</t>
        </is>
      </c>
      <c r="B27" s="27" t="inlineStr">
        <is>
          <t>Bajaj BJH 66I</t>
        </is>
      </c>
      <c r="C27" s="27" t="inlineStr">
        <is>
          <t>BJH66I</t>
        </is>
      </c>
      <c r="D27" s="28" t="n">
        <v>46069</v>
      </c>
      <c r="E27" s="27" t="inlineStr">
        <is>
          <t>Foto 43 | 64 cuotas | 18 meses | 16 pagos | GAP en mayo-2026 sin registro</t>
        </is>
      </c>
      <c r="F27" s="27" t="n">
        <v>64</v>
      </c>
      <c r="G27" s="27" t="n">
        <v>3174613608</v>
      </c>
    </row>
    <row r="28" customFormat="1" s="27">
      <c r="A28" s="27" t="inlineStr">
        <is>
          <t>Daniela Nuñez</t>
        </is>
      </c>
      <c r="B28" s="27" t="inlineStr">
        <is>
          <t>Bajaj BJK 95I</t>
        </is>
      </c>
      <c r="C28" s="27" t="inlineStr">
        <is>
          <t>BJK95I</t>
        </is>
      </c>
      <c r="D28" s="28" t="n">
        <v>46086</v>
      </c>
      <c r="E28" s="27" t="inlineStr">
        <is>
          <t>Foto 44 | 24 meses | 24 cuotas MENSUALES | tarifa 420.000/mes | total 10.080.000</t>
        </is>
      </c>
      <c r="F28" s="27" t="n">
        <v>24</v>
      </c>
      <c r="G28" s="27" t="n">
        <v>3015454016</v>
      </c>
    </row>
    <row r="29" customFormat="1" s="27">
      <c r="A29" s="27" t="inlineStr">
        <is>
          <t>Alejandro</t>
        </is>
      </c>
      <c r="B29" s="27" t="inlineStr">
        <is>
          <t>Bajaj OKS 30I</t>
        </is>
      </c>
      <c r="C29" s="27" t="inlineStr">
        <is>
          <t>OKS30I</t>
        </is>
      </c>
      <c r="D29" s="28" t="n">
        <v>46123</v>
      </c>
      <c r="E29" s="27" t="inlineStr">
        <is>
          <t>Foto 45 | 21 meses | 84 cuotas | 13 pagos registrados</t>
        </is>
      </c>
      <c r="F29" s="27" t="n">
        <v>84</v>
      </c>
      <c r="G29" s="27" t="n">
        <v>3249546666</v>
      </c>
    </row>
    <row r="30" customFormat="1" s="27">
      <c r="A30" s="27" t="inlineStr">
        <is>
          <t>Karluis</t>
        </is>
      </c>
      <c r="B30" s="27" t="inlineStr">
        <is>
          <t>Bajaj BLB 45I</t>
        </is>
      </c>
      <c r="C30" s="27" t="inlineStr">
        <is>
          <t>BLB45I</t>
        </is>
      </c>
      <c r="D30" s="28" t="n">
        <v>46158</v>
      </c>
      <c r="E30" s="27" t="inlineStr">
        <is>
          <t>Foto 46 | 18 meses | 72 cuotas | 4 pagos registrados | moto #29</t>
        </is>
      </c>
      <c r="F30" s="27" t="n">
        <v>72</v>
      </c>
      <c r="G30" s="27" t="n">
        <v>3135028944</v>
      </c>
    </row>
    <row r="31" customFormat="1" s="27">
      <c r="A31" s="27" t="inlineStr">
        <is>
          <t>Francisco (Buñuelo)</t>
        </is>
      </c>
      <c r="B31" s="27" t="inlineStr">
        <is>
          <t>Bajaj BLG 78I</t>
        </is>
      </c>
      <c r="C31" s="27" t="inlineStr">
        <is>
          <t>BLG78I</t>
        </is>
      </c>
      <c r="D31" s="28" t="n">
        <v>46145</v>
      </c>
      <c r="E31" s="27" t="inlineStr">
        <is>
          <t>Foto 47 | 24 meses | 48 cuotas bisemanales | tarifa 190.000 | 4 pagos | moto #30</t>
        </is>
      </c>
      <c r="F31" s="27" t="n">
        <v>48</v>
      </c>
      <c r="G31" s="27" t="n">
        <v>3014770941</v>
      </c>
    </row>
    <row r="32" customFormat="1" s="27">
      <c r="A32" s="27" t="inlineStr">
        <is>
          <t>Yesenia</t>
        </is>
      </c>
      <c r="B32" s="27" t="inlineStr">
        <is>
          <t>Bajaj HWO 62I</t>
        </is>
      </c>
      <c r="C32" s="27" t="inlineStr">
        <is>
          <t>HWO62I</t>
        </is>
      </c>
      <c r="D32" s="28" t="n">
        <v>46211</v>
      </c>
      <c r="E32" s="27" t="inlineStr">
        <is>
          <t>Foto 48 | 18 meses | 72 cuotas | 3 pagos registrados | moto #31</t>
        </is>
      </c>
      <c r="F32" s="27" t="n">
        <v>72</v>
      </c>
      <c r="G32" s="27" t="n">
        <v>3137211959</v>
      </c>
    </row>
    <row r="33" customFormat="1" s="27">
      <c r="A33" s="27" t="inlineStr">
        <is>
          <t>Alvania</t>
        </is>
      </c>
      <c r="B33" s="27" t="inlineStr">
        <is>
          <t>Bajaj HWD 78I</t>
        </is>
      </c>
      <c r="C33" s="27" t="inlineStr">
        <is>
          <t>HWD78I</t>
        </is>
      </c>
      <c r="D33" s="28" t="n">
        <v>46213</v>
      </c>
      <c r="E33" s="27" t="inlineStr">
        <is>
          <t>Foto 49 | 18 meses | 72 cuotas | 2 pagos registrados | moto #32</t>
        </is>
      </c>
      <c r="F33" s="27" t="n">
        <v>72</v>
      </c>
      <c r="G33" s="27" t="n">
        <v>3016310976</v>
      </c>
    </row>
    <row r="34" customFormat="1" s="27">
      <c r="A34" s="27" t="inlineStr">
        <is>
          <t>Yuranis Polo</t>
        </is>
      </c>
      <c r="B34" s="27" t="inlineStr">
        <is>
          <t>Bajaj HWM 11I</t>
        </is>
      </c>
      <c r="C34" s="27" t="inlineStr">
        <is>
          <t>HWM11I</t>
        </is>
      </c>
      <c r="D34" s="28" t="n">
        <v>46235</v>
      </c>
      <c r="E34" s="27" t="inlineStr">
        <is>
          <t>Foto 50 | 18 meses | 72 cuotas | moto #33 | SIN PAGOS aun — cliente nuevo</t>
        </is>
      </c>
      <c r="F34" s="27" t="n">
        <v>72</v>
      </c>
      <c r="G34" s="27" t="n">
        <v>3052897193</v>
      </c>
    </row>
    <row r="35" customFormat="1" s="27">
      <c r="A35" s="27" t="inlineStr">
        <is>
          <t>Josue Alcazar</t>
        </is>
      </c>
      <c r="B35" s="27" t="inlineStr">
        <is>
          <t>Bajaj HWS86I</t>
        </is>
      </c>
      <c r="C35" s="27" t="inlineStr">
        <is>
          <t>HWS86I</t>
        </is>
      </c>
      <c r="E35" s="27" t="inlineStr">
        <is>
          <t>paga 260</t>
        </is>
      </c>
      <c r="F35" s="27" t="n">
        <v>48</v>
      </c>
      <c r="G35" s="27" t="n">
        <v>3015525681</v>
      </c>
      <c r="H35" s="27" t="inlineStr">
        <is>
          <t>quincenal</t>
        </is>
      </c>
    </row>
    <row r="36" customFormat="1" s="27">
      <c r="A36" s="27" t="inlineStr">
        <is>
          <t>Laura vanessa</t>
        </is>
      </c>
      <c r="B36" s="27" t="inlineStr">
        <is>
          <t>Bajaj NEJ11I</t>
        </is>
      </c>
      <c r="C36" s="27" t="inlineStr">
        <is>
          <t>NEJ11I</t>
        </is>
      </c>
      <c r="E36" s="27" t="inlineStr">
        <is>
          <t>paga 260</t>
        </is>
      </c>
      <c r="F36" s="27" t="n">
        <v>48</v>
      </c>
      <c r="H36" s="27" t="inlineStr">
        <is>
          <t>quincenal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P1094"/>
  <sheetViews>
    <sheetView tabSelected="1" zoomScale="80" zoomScaleNormal="80" workbookViewId="0">
      <selection activeCell="G845" sqref="G845"/>
    </sheetView>
  </sheetViews>
  <sheetFormatPr baseColWidth="10" defaultColWidth="9.09765625" defaultRowHeight="14.4"/>
  <cols>
    <col width="12.3984375" customWidth="1" style="20" min="1" max="1"/>
    <col width="32.296875" bestFit="1" customWidth="1" style="22" min="2" max="2"/>
    <col width="15" bestFit="1" customWidth="1" style="22" min="3" max="3"/>
    <col width="9.09765625" bestFit="1" customWidth="1" style="22" min="4" max="4"/>
    <col width="9.09765625" customWidth="1" style="22" min="5" max="7"/>
    <col width="11.3984375" bestFit="1" customWidth="1" style="22" min="8" max="8"/>
    <col width="13.59765625" bestFit="1" customWidth="1" style="22" min="9" max="9"/>
    <col width="11.59765625" bestFit="1" customWidth="1" style="22" min="10" max="10"/>
    <col width="10.296875" bestFit="1" customWidth="1" style="22" min="11" max="11"/>
    <col width="36.69921875" bestFit="1" customWidth="1" style="22" min="12" max="12"/>
    <col width="9.09765625" customWidth="1" style="22" min="13" max="15"/>
    <col width="14.09765625" bestFit="1" customWidth="1" style="22" min="16" max="16"/>
    <col width="9.09765625" customWidth="1" style="22" min="17" max="16384"/>
  </cols>
  <sheetData>
    <row r="1">
      <c r="A1" s="18" t="inlineStr">
        <is>
          <t>Fecha</t>
        </is>
      </c>
      <c r="B1" s="21" t="inlineStr">
        <is>
          <t>Cliente</t>
        </is>
      </c>
      <c r="C1" s="21" t="inlineStr">
        <is>
          <t>Moto</t>
        </is>
      </c>
      <c r="D1" s="21" t="inlineStr">
        <is>
          <t>Placa</t>
        </is>
      </c>
      <c r="H1" s="21" t="inlineStr">
        <is>
          <t>Pago Diario</t>
        </is>
      </c>
      <c r="I1" s="21" t="inlineStr">
        <is>
          <t>Pago Recibido</t>
        </is>
      </c>
      <c r="J1" s="21" t="inlineStr">
        <is>
          <t>Medio Pago</t>
        </is>
      </c>
      <c r="K1" s="21" t="inlineStr">
        <is>
          <t>Saldo</t>
        </is>
      </c>
      <c r="P1" s="21" t="inlineStr">
        <is>
          <t>Observaciones</t>
        </is>
      </c>
    </row>
    <row r="2" hidden="1" customFormat="1" s="23">
      <c r="A2" s="38" t="n">
        <v>45652</v>
      </c>
      <c r="B2" s="23" t="inlineStr">
        <is>
          <t>Dorlys Jose Julio</t>
        </is>
      </c>
      <c r="C2" s="23" t="inlineStr">
        <is>
          <t>Bajaj EYO 11H</t>
        </is>
      </c>
      <c r="D2" s="23" t="inlineStr">
        <is>
          <t>EYO11H</t>
        </is>
      </c>
      <c r="H2" s="23" t="n">
        <v>240000</v>
      </c>
      <c r="I2" s="23" t="n">
        <v>240000</v>
      </c>
      <c r="J2" s="23" t="inlineStr">
        <is>
          <t>efectivo</t>
        </is>
      </c>
    </row>
    <row r="3" hidden="1" customFormat="1" s="23">
      <c r="A3" s="38" t="n">
        <v>45659</v>
      </c>
      <c r="B3" s="23" t="inlineStr">
        <is>
          <t>Dorlys Jose Julio</t>
        </is>
      </c>
      <c r="C3" s="23" t="inlineStr">
        <is>
          <t>Bajaj EYO 11H</t>
        </is>
      </c>
      <c r="D3" s="23" t="inlineStr">
        <is>
          <t>EYO11H</t>
        </is>
      </c>
      <c r="H3" s="23" t="n">
        <v>240000</v>
      </c>
      <c r="I3" s="23" t="n">
        <v>240000</v>
      </c>
      <c r="J3" s="23" t="inlineStr">
        <is>
          <t>efectivo</t>
        </is>
      </c>
    </row>
    <row r="4" hidden="1" customFormat="1" s="23">
      <c r="A4" s="38" t="n">
        <v>45666</v>
      </c>
      <c r="B4" s="23" t="inlineStr">
        <is>
          <t>Dorlys Jose Julio</t>
        </is>
      </c>
      <c r="C4" s="23" t="inlineStr">
        <is>
          <t>Bajaj EYO 11H</t>
        </is>
      </c>
      <c r="D4" s="23" t="inlineStr">
        <is>
          <t>EYO11H</t>
        </is>
      </c>
      <c r="H4" s="23" t="n">
        <v>240000</v>
      </c>
      <c r="I4" s="23" t="n">
        <v>240000</v>
      </c>
      <c r="J4" s="23" t="inlineStr">
        <is>
          <t>efectivo</t>
        </is>
      </c>
    </row>
    <row r="5" hidden="1" customFormat="1" s="23">
      <c r="A5" s="38" t="n">
        <v>45673</v>
      </c>
      <c r="B5" s="23" t="inlineStr">
        <is>
          <t>Dorlys Jose Julio</t>
        </is>
      </c>
      <c r="C5" s="23" t="inlineStr">
        <is>
          <t>Bajaj EYO 11H</t>
        </is>
      </c>
      <c r="D5" s="23" t="inlineStr">
        <is>
          <t>EYO11H</t>
        </is>
      </c>
      <c r="H5" s="23" t="n">
        <v>240000</v>
      </c>
      <c r="I5" s="23" t="n">
        <v>240000</v>
      </c>
      <c r="J5" s="23" t="inlineStr">
        <is>
          <t>efectivo</t>
        </is>
      </c>
    </row>
    <row r="6" hidden="1" customFormat="1" s="23">
      <c r="A6" s="38" t="n">
        <v>45684</v>
      </c>
      <c r="B6" s="23" t="inlineStr">
        <is>
          <t>Dorlys Jose Julio</t>
        </is>
      </c>
      <c r="C6" s="23" t="inlineStr">
        <is>
          <t>Bajaj EYO 11H</t>
        </is>
      </c>
      <c r="D6" s="23" t="inlineStr">
        <is>
          <t>EYO11H</t>
        </is>
      </c>
      <c r="H6" s="23" t="n">
        <v>240000</v>
      </c>
      <c r="I6" s="23" t="n">
        <v>240000</v>
      </c>
      <c r="J6" s="23" t="inlineStr">
        <is>
          <t>efectivo</t>
        </is>
      </c>
    </row>
    <row r="7" hidden="1" customFormat="1" s="23">
      <c r="A7" s="38" t="n">
        <v>45692</v>
      </c>
      <c r="B7" s="23" t="inlineStr">
        <is>
          <t>Dorlys Jose Julio</t>
        </is>
      </c>
      <c r="C7" s="23" t="inlineStr">
        <is>
          <t>Bajaj EYO 11H</t>
        </is>
      </c>
      <c r="D7" s="23" t="inlineStr">
        <is>
          <t>EYO11H</t>
        </is>
      </c>
      <c r="H7" s="23" t="n">
        <v>240000</v>
      </c>
      <c r="I7" s="23" t="n">
        <v>240000</v>
      </c>
      <c r="J7" s="23" t="inlineStr">
        <is>
          <t>efectivo</t>
        </is>
      </c>
    </row>
    <row r="8" hidden="1" customFormat="1" s="23">
      <c r="A8" s="38" t="n">
        <v>45702</v>
      </c>
      <c r="B8" s="23" t="inlineStr">
        <is>
          <t>Dorlys Jose Julio</t>
        </is>
      </c>
      <c r="C8" s="23" t="inlineStr">
        <is>
          <t>Bajaj EYO 11H</t>
        </is>
      </c>
      <c r="D8" s="23" t="inlineStr">
        <is>
          <t>EYO11H</t>
        </is>
      </c>
      <c r="H8" s="23" t="n">
        <v>240000</v>
      </c>
      <c r="I8" s="23" t="n">
        <v>240000</v>
      </c>
      <c r="J8" s="23" t="inlineStr">
        <is>
          <t>efectivo</t>
        </is>
      </c>
    </row>
    <row r="9" hidden="1" customFormat="1" s="23">
      <c r="A9" s="38" t="n">
        <v>45708</v>
      </c>
      <c r="B9" s="23" t="inlineStr">
        <is>
          <t>Dorlys Jose Julio</t>
        </is>
      </c>
      <c r="C9" s="23" t="inlineStr">
        <is>
          <t>Bajaj EYO 11H</t>
        </is>
      </c>
      <c r="D9" s="23" t="inlineStr">
        <is>
          <t>EYO11H</t>
        </is>
      </c>
      <c r="H9" s="23" t="n">
        <v>240000</v>
      </c>
      <c r="I9" s="23" t="n">
        <v>240000</v>
      </c>
      <c r="J9" s="23" t="inlineStr">
        <is>
          <t>efectivo</t>
        </is>
      </c>
    </row>
    <row r="10" hidden="1" customFormat="1" s="23">
      <c r="A10" s="38" t="n">
        <v>45716</v>
      </c>
      <c r="B10" s="23" t="inlineStr">
        <is>
          <t>Dorlys Jose Julio</t>
        </is>
      </c>
      <c r="C10" s="23" t="inlineStr">
        <is>
          <t>Bajaj EYO 11H</t>
        </is>
      </c>
      <c r="D10" s="23" t="inlineStr">
        <is>
          <t>EYO11H</t>
        </is>
      </c>
      <c r="H10" s="23" t="n">
        <v>240000</v>
      </c>
      <c r="I10" s="23" t="n">
        <v>240000</v>
      </c>
      <c r="J10" s="23" t="inlineStr">
        <is>
          <t>efectivo</t>
        </is>
      </c>
    </row>
    <row r="11" hidden="1" customFormat="1" s="23">
      <c r="A11" s="38" t="n">
        <v>45724</v>
      </c>
      <c r="B11" s="23" t="inlineStr">
        <is>
          <t>Dorlys Jose Julio</t>
        </is>
      </c>
      <c r="C11" s="23" t="inlineStr">
        <is>
          <t>Bajaj EYO 11H</t>
        </is>
      </c>
      <c r="D11" s="23" t="inlineStr">
        <is>
          <t>EYO11H</t>
        </is>
      </c>
      <c r="H11" s="23" t="n">
        <v>240000</v>
      </c>
      <c r="I11" s="23" t="n">
        <v>240000</v>
      </c>
      <c r="J11" s="23" t="inlineStr">
        <is>
          <t>efectivo</t>
        </is>
      </c>
    </row>
    <row r="12" hidden="1" customFormat="1" s="23">
      <c r="A12" s="38" t="n">
        <v>45731</v>
      </c>
      <c r="B12" s="23" t="inlineStr">
        <is>
          <t>Dorlys Jose Julio</t>
        </is>
      </c>
      <c r="C12" s="23" t="inlineStr">
        <is>
          <t>Bajaj EYO 11H</t>
        </is>
      </c>
      <c r="D12" s="23" t="inlineStr">
        <is>
          <t>EYO11H</t>
        </is>
      </c>
      <c r="H12" s="23" t="n">
        <v>240000</v>
      </c>
      <c r="I12" s="23" t="n">
        <v>240000</v>
      </c>
      <c r="J12" s="23" t="inlineStr">
        <is>
          <t>efectivo</t>
        </is>
      </c>
    </row>
    <row r="13" hidden="1" customFormat="1" s="23">
      <c r="A13" s="38" t="n">
        <v>45738</v>
      </c>
      <c r="B13" s="23" t="inlineStr">
        <is>
          <t>Dorlys Jose Julio</t>
        </is>
      </c>
      <c r="C13" s="23" t="inlineStr">
        <is>
          <t>Bajaj EYO 11H</t>
        </is>
      </c>
      <c r="D13" s="23" t="inlineStr">
        <is>
          <t>EYO11H</t>
        </is>
      </c>
      <c r="H13" s="23" t="n">
        <v>240000</v>
      </c>
      <c r="I13" s="23" t="n">
        <v>240000</v>
      </c>
      <c r="J13" s="23" t="inlineStr">
        <is>
          <t>efectivo</t>
        </is>
      </c>
    </row>
    <row r="14" hidden="1" customFormat="1" s="23">
      <c r="A14" s="38" t="n">
        <v>45750</v>
      </c>
      <c r="B14" s="23" t="inlineStr">
        <is>
          <t>Dorlys Jose Julio</t>
        </is>
      </c>
      <c r="C14" s="23" t="inlineStr">
        <is>
          <t>Bajaj EYO 11H</t>
        </is>
      </c>
      <c r="D14" s="23" t="inlineStr">
        <is>
          <t>EYO11H</t>
        </is>
      </c>
      <c r="H14" s="23" t="n">
        <v>240000</v>
      </c>
      <c r="I14" s="23" t="n">
        <v>240000</v>
      </c>
      <c r="J14" s="23" t="inlineStr">
        <is>
          <t>efectivo</t>
        </is>
      </c>
    </row>
    <row r="15" hidden="1" customFormat="1" s="23">
      <c r="A15" s="38" t="n">
        <v>45759</v>
      </c>
      <c r="B15" s="23" t="inlineStr">
        <is>
          <t>Dorlys Jose Julio</t>
        </is>
      </c>
      <c r="C15" s="23" t="inlineStr">
        <is>
          <t>Bajaj EYO 11H</t>
        </is>
      </c>
      <c r="D15" s="23" t="inlineStr">
        <is>
          <t>EYO11H</t>
        </is>
      </c>
      <c r="H15" s="23" t="n">
        <v>240000</v>
      </c>
      <c r="I15" s="23" t="n">
        <v>240000</v>
      </c>
      <c r="J15" s="23" t="inlineStr">
        <is>
          <t>efectivo</t>
        </is>
      </c>
    </row>
    <row r="16" hidden="1" customFormat="1" s="23">
      <c r="A16" s="38" t="n">
        <v>45773</v>
      </c>
      <c r="B16" s="23" t="inlineStr">
        <is>
          <t>Dorlys Jose Julio</t>
        </is>
      </c>
      <c r="C16" s="23" t="inlineStr">
        <is>
          <t>Bajaj EYO 11H</t>
        </is>
      </c>
      <c r="D16" s="23" t="inlineStr">
        <is>
          <t>EYO11H</t>
        </is>
      </c>
      <c r="H16" s="23" t="n">
        <v>240000</v>
      </c>
      <c r="I16" s="23" t="n">
        <v>240000</v>
      </c>
      <c r="J16" s="23" t="inlineStr">
        <is>
          <t>efectivo</t>
        </is>
      </c>
    </row>
    <row r="17" hidden="1" customFormat="1" s="23">
      <c r="A17" s="38" t="n">
        <v>45776</v>
      </c>
      <c r="B17" s="23" t="inlineStr">
        <is>
          <t>Dorlys Jose Julio</t>
        </is>
      </c>
      <c r="C17" s="23" t="inlineStr">
        <is>
          <t>Bajaj EYO 11H</t>
        </is>
      </c>
      <c r="D17" s="23" t="inlineStr">
        <is>
          <t>EYO11H</t>
        </is>
      </c>
      <c r="H17" s="23" t="n">
        <v>240000</v>
      </c>
      <c r="I17" s="23" t="n">
        <v>240000</v>
      </c>
      <c r="J17" s="23" t="inlineStr">
        <is>
          <t>efectivo</t>
        </is>
      </c>
    </row>
    <row r="18" hidden="1" customFormat="1" s="23">
      <c r="A18" s="38" t="n">
        <v>45813</v>
      </c>
      <c r="B18" s="23" t="inlineStr">
        <is>
          <t>Dorlys Jose Julio</t>
        </is>
      </c>
      <c r="C18" s="23" t="inlineStr">
        <is>
          <t>Bajaj EYO 11H</t>
        </is>
      </c>
      <c r="D18" s="23" t="inlineStr">
        <is>
          <t>EYO11H</t>
        </is>
      </c>
      <c r="H18" s="23" t="n">
        <v>240000</v>
      </c>
      <c r="I18" s="23" t="n">
        <v>240000</v>
      </c>
      <c r="J18" s="23" t="inlineStr">
        <is>
          <t>efectivo</t>
        </is>
      </c>
    </row>
    <row r="19" hidden="1" customFormat="1" s="23">
      <c r="A19" s="38" t="n">
        <v>45826</v>
      </c>
      <c r="B19" s="23" t="inlineStr">
        <is>
          <t>Dorlys Jose Julio</t>
        </is>
      </c>
      <c r="C19" s="23" t="inlineStr">
        <is>
          <t>Bajaj EYO 11H</t>
        </is>
      </c>
      <c r="D19" s="23" t="inlineStr">
        <is>
          <t>EYO11H</t>
        </is>
      </c>
      <c r="H19" s="23" t="n">
        <v>240000</v>
      </c>
      <c r="I19" s="23" t="n">
        <v>240000</v>
      </c>
      <c r="J19" s="23" t="inlineStr">
        <is>
          <t>efectivo</t>
        </is>
      </c>
    </row>
    <row r="20" hidden="1" customFormat="1" s="23">
      <c r="A20" s="38" t="n">
        <v>45832</v>
      </c>
      <c r="B20" s="23" t="inlineStr">
        <is>
          <t>Dorlys Jose Julio</t>
        </is>
      </c>
      <c r="C20" s="23" t="inlineStr">
        <is>
          <t>Bajaj EYO 11H</t>
        </is>
      </c>
      <c r="D20" s="23" t="inlineStr">
        <is>
          <t>EYO11H</t>
        </is>
      </c>
      <c r="H20" s="23" t="n">
        <v>240000</v>
      </c>
      <c r="I20" s="23" t="n">
        <v>240000</v>
      </c>
      <c r="J20" s="23" t="inlineStr">
        <is>
          <t>efectivo</t>
        </is>
      </c>
    </row>
    <row r="21" hidden="1" customFormat="1" s="23">
      <c r="A21" s="38" t="n">
        <v>45840</v>
      </c>
      <c r="B21" s="23" t="inlineStr">
        <is>
          <t>Dorlys Jose Julio</t>
        </is>
      </c>
      <c r="C21" s="23" t="inlineStr">
        <is>
          <t>Bajaj EYO 11H</t>
        </is>
      </c>
      <c r="D21" s="23" t="inlineStr">
        <is>
          <t>EYO11H</t>
        </is>
      </c>
      <c r="H21" s="23" t="n">
        <v>240000</v>
      </c>
      <c r="I21" s="23" t="n">
        <v>240000</v>
      </c>
      <c r="J21" s="23" t="inlineStr">
        <is>
          <t>efectivo</t>
        </is>
      </c>
    </row>
    <row r="22" hidden="1" customFormat="1" s="23">
      <c r="A22" s="38" t="n">
        <v>45849</v>
      </c>
      <c r="B22" s="23" t="inlineStr">
        <is>
          <t>Dorlys Jose Julio</t>
        </is>
      </c>
      <c r="C22" s="23" t="inlineStr">
        <is>
          <t>Bajaj EYO 11H</t>
        </is>
      </c>
      <c r="D22" s="23" t="inlineStr">
        <is>
          <t>EYO11H</t>
        </is>
      </c>
      <c r="H22" s="23" t="n">
        <v>240000</v>
      </c>
      <c r="I22" s="23" t="n">
        <v>240000</v>
      </c>
      <c r="J22" s="23" t="inlineStr">
        <is>
          <t>efectivo</t>
        </is>
      </c>
    </row>
    <row r="23" hidden="1" customFormat="1" s="23">
      <c r="A23" s="38" t="n">
        <v>45857</v>
      </c>
      <c r="B23" s="23" t="inlineStr">
        <is>
          <t>Dorlys Jose Julio</t>
        </is>
      </c>
      <c r="C23" s="23" t="inlineStr">
        <is>
          <t>Bajaj EYO 11H</t>
        </is>
      </c>
      <c r="D23" s="23" t="inlineStr">
        <is>
          <t>EYO11H</t>
        </is>
      </c>
      <c r="H23" s="23" t="n">
        <v>240000</v>
      </c>
      <c r="I23" s="23" t="n">
        <v>240000</v>
      </c>
      <c r="J23" s="23" t="inlineStr">
        <is>
          <t>efectivo</t>
        </is>
      </c>
    </row>
    <row r="24" hidden="1" customFormat="1" s="23">
      <c r="A24" s="38" t="n">
        <v>45866</v>
      </c>
      <c r="B24" s="23" t="inlineStr">
        <is>
          <t>Dorlys Jose Julio</t>
        </is>
      </c>
      <c r="C24" s="23" t="inlineStr">
        <is>
          <t>Bajaj EYO 11H</t>
        </is>
      </c>
      <c r="D24" s="23" t="inlineStr">
        <is>
          <t>EYO11H</t>
        </is>
      </c>
      <c r="H24" s="23" t="n">
        <v>240000</v>
      </c>
      <c r="I24" s="23" t="n">
        <v>240000</v>
      </c>
      <c r="J24" s="23" t="inlineStr">
        <is>
          <t>efectivo</t>
        </is>
      </c>
    </row>
    <row r="25" hidden="1" customFormat="1" s="23">
      <c r="A25" s="38" t="n">
        <v>45875</v>
      </c>
      <c r="B25" s="23" t="inlineStr">
        <is>
          <t>Dorlys Jose Julio</t>
        </is>
      </c>
      <c r="C25" s="23" t="inlineStr">
        <is>
          <t>Bajaj EYO 11H</t>
        </is>
      </c>
      <c r="D25" s="23" t="inlineStr">
        <is>
          <t>EYO11H</t>
        </is>
      </c>
      <c r="H25" s="23" t="n">
        <v>240000</v>
      </c>
      <c r="I25" s="23" t="n">
        <v>240000</v>
      </c>
      <c r="J25" s="23" t="inlineStr">
        <is>
          <t>efectivo</t>
        </is>
      </c>
    </row>
    <row r="26" hidden="1" customFormat="1" s="23">
      <c r="A26" s="38" t="n">
        <v>45883</v>
      </c>
      <c r="B26" s="23" t="inlineStr">
        <is>
          <t>Dorlys Jose Julio</t>
        </is>
      </c>
      <c r="C26" s="23" t="inlineStr">
        <is>
          <t>Bajaj EYO 11H</t>
        </is>
      </c>
      <c r="D26" s="23" t="inlineStr">
        <is>
          <t>EYO11H</t>
        </is>
      </c>
      <c r="H26" s="23" t="n">
        <v>240000</v>
      </c>
      <c r="I26" s="23" t="n">
        <v>240000</v>
      </c>
      <c r="J26" s="23" t="inlineStr">
        <is>
          <t>efectivo</t>
        </is>
      </c>
    </row>
    <row r="27" hidden="1" customFormat="1" s="23">
      <c r="A27" s="38" t="n">
        <v>45891</v>
      </c>
      <c r="B27" s="23" t="inlineStr">
        <is>
          <t>Dorlys Jose Julio</t>
        </is>
      </c>
      <c r="C27" s="23" t="inlineStr">
        <is>
          <t>Bajaj EYO 11H</t>
        </is>
      </c>
      <c r="D27" s="23" t="inlineStr">
        <is>
          <t>EYO11H</t>
        </is>
      </c>
      <c r="H27" s="23" t="n">
        <v>240000</v>
      </c>
      <c r="I27" s="23" t="n">
        <v>240000</v>
      </c>
      <c r="J27" s="23" t="inlineStr">
        <is>
          <t>efectivo</t>
        </is>
      </c>
    </row>
    <row r="28" hidden="1" customFormat="1" s="23">
      <c r="A28" s="38" t="n">
        <v>45900</v>
      </c>
      <c r="B28" s="23" t="inlineStr">
        <is>
          <t>Dorlys Jose Julio</t>
        </is>
      </c>
      <c r="C28" s="23" t="inlineStr">
        <is>
          <t>Bajaj EYO 11H</t>
        </is>
      </c>
      <c r="D28" s="23" t="inlineStr">
        <is>
          <t>EYO11H</t>
        </is>
      </c>
      <c r="H28" s="23" t="n">
        <v>240000</v>
      </c>
      <c r="I28" s="23" t="n">
        <v>240000</v>
      </c>
      <c r="J28" s="23" t="inlineStr">
        <is>
          <t>efectivo</t>
        </is>
      </c>
    </row>
    <row r="29" hidden="1" customFormat="1" s="23">
      <c r="A29" s="38" t="n">
        <v>45909</v>
      </c>
      <c r="B29" s="23" t="inlineStr">
        <is>
          <t>Dorlys Jose Julio</t>
        </is>
      </c>
      <c r="C29" s="23" t="inlineStr">
        <is>
          <t>Bajaj EYO 11H</t>
        </is>
      </c>
      <c r="D29" s="23" t="inlineStr">
        <is>
          <t>EYO11H</t>
        </is>
      </c>
      <c r="H29" s="23" t="n">
        <v>240000</v>
      </c>
      <c r="I29" s="23" t="n">
        <v>240000</v>
      </c>
      <c r="J29" s="23" t="inlineStr">
        <is>
          <t>efectivo</t>
        </is>
      </c>
    </row>
    <row r="30" hidden="1" customFormat="1" s="23">
      <c r="A30" s="38" t="n">
        <v>45918</v>
      </c>
      <c r="B30" s="23" t="inlineStr">
        <is>
          <t>Dorlys Jose Julio</t>
        </is>
      </c>
      <c r="C30" s="23" t="inlineStr">
        <is>
          <t>Bajaj EYO 11H</t>
        </is>
      </c>
      <c r="D30" s="23" t="inlineStr">
        <is>
          <t>EYO11H</t>
        </is>
      </c>
      <c r="H30" s="23" t="n">
        <v>240000</v>
      </c>
      <c r="I30" s="23" t="n">
        <v>240000</v>
      </c>
      <c r="J30" s="23" t="inlineStr">
        <is>
          <t>efectivo</t>
        </is>
      </c>
    </row>
    <row r="31" hidden="1" customFormat="1" s="23">
      <c r="A31" s="38" t="n">
        <v>45926</v>
      </c>
      <c r="B31" s="23" t="inlineStr">
        <is>
          <t>Dorlys Jose Julio</t>
        </is>
      </c>
      <c r="C31" s="23" t="inlineStr">
        <is>
          <t>Bajaj EYO 11H</t>
        </is>
      </c>
      <c r="D31" s="23" t="inlineStr">
        <is>
          <t>EYO11H</t>
        </is>
      </c>
      <c r="H31" s="23" t="n">
        <v>240000</v>
      </c>
      <c r="I31" s="23" t="n">
        <v>240000</v>
      </c>
      <c r="J31" s="23" t="inlineStr">
        <is>
          <t>efectivo</t>
        </is>
      </c>
    </row>
    <row r="32" hidden="1" customFormat="1" s="23">
      <c r="A32" s="38" t="n">
        <v>45935</v>
      </c>
      <c r="B32" s="23" t="inlineStr">
        <is>
          <t>Dorlys Jose Julio</t>
        </is>
      </c>
      <c r="C32" s="23" t="inlineStr">
        <is>
          <t>Bajaj EYO 11H</t>
        </is>
      </c>
      <c r="D32" s="23" t="inlineStr">
        <is>
          <t>EYO11H</t>
        </is>
      </c>
      <c r="H32" s="23" t="n">
        <v>240000</v>
      </c>
      <c r="I32" s="23" t="n">
        <v>240000</v>
      </c>
      <c r="J32" s="23" t="inlineStr">
        <is>
          <t>efectivo</t>
        </is>
      </c>
    </row>
    <row r="33" hidden="1" customFormat="1" s="23">
      <c r="A33" s="38" t="n">
        <v>45943</v>
      </c>
      <c r="B33" s="23" t="inlineStr">
        <is>
          <t>Dorlys Jose Julio</t>
        </is>
      </c>
      <c r="C33" s="23" t="inlineStr">
        <is>
          <t>Bajaj EYO 11H</t>
        </is>
      </c>
      <c r="D33" s="23" t="inlineStr">
        <is>
          <t>EYO11H</t>
        </is>
      </c>
      <c r="H33" s="23" t="n">
        <v>240000</v>
      </c>
      <c r="I33" s="23" t="n">
        <v>240000</v>
      </c>
      <c r="J33" s="23" t="inlineStr">
        <is>
          <t>efectivo</t>
        </is>
      </c>
    </row>
    <row r="34" hidden="1" customFormat="1" s="23">
      <c r="A34" s="38" t="n">
        <v>45954</v>
      </c>
      <c r="B34" s="23" t="inlineStr">
        <is>
          <t>Dorlys Jose Julio</t>
        </is>
      </c>
      <c r="C34" s="23" t="inlineStr">
        <is>
          <t>Bajaj EYO 11H</t>
        </is>
      </c>
      <c r="D34" s="23" t="inlineStr">
        <is>
          <t>EYO11H</t>
        </is>
      </c>
      <c r="H34" s="23" t="n">
        <v>240000</v>
      </c>
      <c r="I34" s="23" t="n">
        <v>240000</v>
      </c>
      <c r="J34" s="23" t="inlineStr">
        <is>
          <t>efectivo</t>
        </is>
      </c>
    </row>
    <row r="35" hidden="1" customFormat="1" s="23">
      <c r="A35" s="38" t="n">
        <v>45963</v>
      </c>
      <c r="B35" s="23" t="inlineStr">
        <is>
          <t>Dorlys Jose Julio</t>
        </is>
      </c>
      <c r="C35" s="23" t="inlineStr">
        <is>
          <t>Bajaj EYO 11H</t>
        </is>
      </c>
      <c r="D35" s="23" t="inlineStr">
        <is>
          <t>EYO11H</t>
        </is>
      </c>
      <c r="H35" s="23" t="n">
        <v>240000</v>
      </c>
      <c r="I35" s="23" t="n">
        <v>240000</v>
      </c>
      <c r="J35" s="23" t="inlineStr">
        <is>
          <t>efectivo</t>
        </is>
      </c>
    </row>
    <row r="36" hidden="1" customFormat="1" s="23">
      <c r="A36" s="38" t="n">
        <v>45973</v>
      </c>
      <c r="B36" s="23" t="inlineStr">
        <is>
          <t>Dorlys Jose Julio</t>
        </is>
      </c>
      <c r="C36" s="23" t="inlineStr">
        <is>
          <t>Bajaj EYO 11H</t>
        </is>
      </c>
      <c r="D36" s="23" t="inlineStr">
        <is>
          <t>EYO11H</t>
        </is>
      </c>
      <c r="H36" s="23" t="n">
        <v>240000</v>
      </c>
      <c r="I36" s="23" t="n">
        <v>240000</v>
      </c>
      <c r="J36" s="23" t="inlineStr">
        <is>
          <t>efectivo</t>
        </is>
      </c>
    </row>
    <row r="37" hidden="1" customFormat="1" s="23">
      <c r="A37" s="38" t="n">
        <v>45982</v>
      </c>
      <c r="B37" s="23" t="inlineStr">
        <is>
          <t>Dorlys Jose Julio</t>
        </is>
      </c>
      <c r="C37" s="23" t="inlineStr">
        <is>
          <t>Bajaj EYO 11H</t>
        </is>
      </c>
      <c r="D37" s="23" t="inlineStr">
        <is>
          <t>EYO11H</t>
        </is>
      </c>
      <c r="H37" s="23" t="n">
        <v>240000</v>
      </c>
      <c r="I37" s="23" t="n">
        <v>240000</v>
      </c>
      <c r="J37" s="23" t="inlineStr">
        <is>
          <t>efectivo</t>
        </is>
      </c>
    </row>
    <row r="38" hidden="1" customFormat="1" s="23">
      <c r="A38" s="38" t="n">
        <v>45990</v>
      </c>
      <c r="B38" s="23" t="inlineStr">
        <is>
          <t>Dorlys Jose Julio</t>
        </is>
      </c>
      <c r="C38" s="23" t="inlineStr">
        <is>
          <t>Bajaj EYO 11H</t>
        </is>
      </c>
      <c r="D38" s="23" t="inlineStr">
        <is>
          <t>EYO11H</t>
        </is>
      </c>
      <c r="H38" s="23" t="n">
        <v>240000</v>
      </c>
      <c r="I38" s="23" t="n">
        <v>240000</v>
      </c>
      <c r="J38" s="23" t="inlineStr">
        <is>
          <t>efectivo</t>
        </is>
      </c>
    </row>
    <row r="39" hidden="1" customFormat="1" s="23">
      <c r="A39" s="38" t="n">
        <v>45999</v>
      </c>
      <c r="B39" s="23" t="inlineStr">
        <is>
          <t>Dorlys Jose Julio</t>
        </is>
      </c>
      <c r="C39" s="23" t="inlineStr">
        <is>
          <t>Bajaj EYO 11H</t>
        </is>
      </c>
      <c r="D39" s="23" t="inlineStr">
        <is>
          <t>EYO11H</t>
        </is>
      </c>
      <c r="H39" s="23" t="n">
        <v>240000</v>
      </c>
      <c r="I39" s="23" t="n">
        <v>240000</v>
      </c>
      <c r="J39" s="23" t="inlineStr">
        <is>
          <t>efectivo</t>
        </is>
      </c>
    </row>
    <row r="40" hidden="1" customFormat="1" s="23">
      <c r="A40" s="38" t="n">
        <v>46007</v>
      </c>
      <c r="B40" s="23" t="inlineStr">
        <is>
          <t>Dorlys Jose Julio</t>
        </is>
      </c>
      <c r="C40" s="23" t="inlineStr">
        <is>
          <t>Bajaj EYO 11H</t>
        </is>
      </c>
      <c r="D40" s="23" t="inlineStr">
        <is>
          <t>EYO11H</t>
        </is>
      </c>
      <c r="H40" s="23" t="n">
        <v>240000</v>
      </c>
      <c r="I40" s="23" t="n">
        <v>240000</v>
      </c>
      <c r="J40" s="23" t="inlineStr">
        <is>
          <t>efectivo</t>
        </is>
      </c>
    </row>
    <row r="41" hidden="1" customFormat="1" s="23">
      <c r="A41" s="38" t="n">
        <v>46016</v>
      </c>
      <c r="B41" s="23" t="inlineStr">
        <is>
          <t>Dorlys Jose Julio</t>
        </is>
      </c>
      <c r="C41" s="23" t="inlineStr">
        <is>
          <t>Bajaj EYO 11H</t>
        </is>
      </c>
      <c r="D41" s="23" t="inlineStr">
        <is>
          <t>EYO11H</t>
        </is>
      </c>
      <c r="H41" s="23" t="n">
        <v>240000</v>
      </c>
      <c r="I41" s="23" t="n">
        <v>240000</v>
      </c>
      <c r="J41" s="23" t="inlineStr">
        <is>
          <t>efectivo</t>
        </is>
      </c>
    </row>
    <row r="42" hidden="1" customFormat="1" s="23">
      <c r="A42" s="38" t="n">
        <v>46030</v>
      </c>
      <c r="B42" s="23" t="inlineStr">
        <is>
          <t>Dorlys Jose Julio</t>
        </is>
      </c>
      <c r="C42" s="23" t="inlineStr">
        <is>
          <t>Bajaj EYO 11H</t>
        </is>
      </c>
      <c r="D42" s="23" t="inlineStr">
        <is>
          <t>EYO11H</t>
        </is>
      </c>
      <c r="H42" s="23" t="n">
        <v>240000</v>
      </c>
      <c r="I42" s="23" t="n">
        <v>240000</v>
      </c>
      <c r="J42" s="23" t="inlineStr">
        <is>
          <t>efectivo</t>
        </is>
      </c>
    </row>
    <row r="43" hidden="1" customFormat="1" s="23">
      <c r="A43" s="38" t="n">
        <v>46039</v>
      </c>
      <c r="B43" s="23" t="inlineStr">
        <is>
          <t>Dorlys Jose Julio</t>
        </is>
      </c>
      <c r="C43" s="23" t="inlineStr">
        <is>
          <t>Bajaj EYO 11H</t>
        </is>
      </c>
      <c r="D43" s="23" t="inlineStr">
        <is>
          <t>EYO11H</t>
        </is>
      </c>
      <c r="H43" s="23" t="n">
        <v>240000</v>
      </c>
      <c r="I43" s="23" t="n">
        <v>240000</v>
      </c>
      <c r="J43" s="23" t="inlineStr">
        <is>
          <t>efectivo</t>
        </is>
      </c>
    </row>
    <row r="44" hidden="1" customFormat="1" s="23">
      <c r="A44" s="38" t="n">
        <v>46047</v>
      </c>
      <c r="B44" s="23" t="inlineStr">
        <is>
          <t>Dorlys Jose Julio</t>
        </is>
      </c>
      <c r="C44" s="23" t="inlineStr">
        <is>
          <t>Bajaj EYO 11H</t>
        </is>
      </c>
      <c r="D44" s="23" t="inlineStr">
        <is>
          <t>EYO11H</t>
        </is>
      </c>
      <c r="H44" s="23" t="n">
        <v>240000</v>
      </c>
      <c r="I44" s="23" t="n">
        <v>240000</v>
      </c>
      <c r="J44" s="23" t="inlineStr">
        <is>
          <t>efectivo</t>
        </is>
      </c>
    </row>
    <row r="45" hidden="1" customFormat="1" s="23">
      <c r="A45" s="38" t="n">
        <v>46056</v>
      </c>
      <c r="B45" s="23" t="inlineStr">
        <is>
          <t>Dorlys Jose Julio</t>
        </is>
      </c>
      <c r="C45" s="23" t="inlineStr">
        <is>
          <t>Bajaj EYO 11H</t>
        </is>
      </c>
      <c r="D45" s="23" t="inlineStr">
        <is>
          <t>EYO11H</t>
        </is>
      </c>
      <c r="H45" s="23" t="n">
        <v>240000</v>
      </c>
      <c r="I45" s="23" t="n">
        <v>240000</v>
      </c>
      <c r="J45" s="23" t="inlineStr">
        <is>
          <t>efectivo</t>
        </is>
      </c>
    </row>
    <row r="46" hidden="1" customFormat="1" s="23">
      <c r="A46" s="38" t="n">
        <v>46063</v>
      </c>
      <c r="B46" s="23" t="inlineStr">
        <is>
          <t>Dorlys Jose Julio</t>
        </is>
      </c>
      <c r="C46" s="23" t="inlineStr">
        <is>
          <t>Bajaj EYO 11H</t>
        </is>
      </c>
      <c r="D46" s="23" t="inlineStr">
        <is>
          <t>EYO11H</t>
        </is>
      </c>
      <c r="H46" s="23" t="n">
        <v>240000</v>
      </c>
      <c r="I46" s="23" t="n">
        <v>240000</v>
      </c>
      <c r="J46" s="23" t="inlineStr">
        <is>
          <t>efectivo</t>
        </is>
      </c>
    </row>
    <row r="47" hidden="1" customFormat="1" s="23">
      <c r="A47" s="38" t="n">
        <v>46071</v>
      </c>
      <c r="B47" s="23" t="inlineStr">
        <is>
          <t>Dorlys Jose Julio</t>
        </is>
      </c>
      <c r="C47" s="23" t="inlineStr">
        <is>
          <t>Bajaj EYO 11H</t>
        </is>
      </c>
      <c r="D47" s="23" t="inlineStr">
        <is>
          <t>EYO11H</t>
        </is>
      </c>
      <c r="H47" s="23" t="n">
        <v>240000</v>
      </c>
      <c r="I47" s="23" t="n">
        <v>240000</v>
      </c>
      <c r="J47" s="23" t="inlineStr">
        <is>
          <t>efectivo</t>
        </is>
      </c>
    </row>
    <row r="48" hidden="1" customFormat="1" s="23">
      <c r="A48" s="38" t="n">
        <v>46081</v>
      </c>
      <c r="B48" s="23" t="inlineStr">
        <is>
          <t>Dorlys Jose Julio</t>
        </is>
      </c>
      <c r="C48" s="23" t="inlineStr">
        <is>
          <t>Bajaj EYO 11H</t>
        </is>
      </c>
      <c r="D48" s="23" t="inlineStr">
        <is>
          <t>EYO11H</t>
        </is>
      </c>
      <c r="H48" s="23" t="n">
        <v>240000</v>
      </c>
      <c r="I48" s="23" t="n">
        <v>240000</v>
      </c>
      <c r="J48" s="23" t="inlineStr">
        <is>
          <t>efectivo</t>
        </is>
      </c>
    </row>
    <row r="49" hidden="1" customFormat="1" s="23">
      <c r="A49" s="38" t="n">
        <v>46134</v>
      </c>
      <c r="B49" s="23" t="inlineStr">
        <is>
          <t>Dorlys Jose Julio</t>
        </is>
      </c>
      <c r="C49" s="23" t="inlineStr">
        <is>
          <t>Bajaj EYO 11H</t>
        </is>
      </c>
      <c r="D49" s="23" t="inlineStr">
        <is>
          <t>EYO11H</t>
        </is>
      </c>
      <c r="H49" s="23" t="n">
        <v>240000</v>
      </c>
      <c r="I49" s="23" t="n">
        <v>240000</v>
      </c>
      <c r="J49" s="23" t="inlineStr">
        <is>
          <t>efectivo</t>
        </is>
      </c>
    </row>
    <row r="50" hidden="1" customFormat="1" s="23">
      <c r="A50" s="38" t="n">
        <v>46144</v>
      </c>
      <c r="B50" s="23" t="inlineStr">
        <is>
          <t>Dorlys Jose Julio</t>
        </is>
      </c>
      <c r="C50" s="23" t="inlineStr">
        <is>
          <t>Bajaj EYO 11H</t>
        </is>
      </c>
      <c r="D50" s="23" t="inlineStr">
        <is>
          <t>EYO11H</t>
        </is>
      </c>
      <c r="H50" s="23" t="n">
        <v>240000</v>
      </c>
      <c r="I50" s="23" t="n">
        <v>240000</v>
      </c>
      <c r="J50" s="23" t="inlineStr">
        <is>
          <t>efectivo</t>
        </is>
      </c>
    </row>
    <row r="51" hidden="1" customFormat="1" s="23">
      <c r="A51" s="38" t="n">
        <v>46152</v>
      </c>
      <c r="B51" s="23" t="inlineStr">
        <is>
          <t>Dorlys Jose Julio</t>
        </is>
      </c>
      <c r="C51" s="23" t="inlineStr">
        <is>
          <t>Bajaj EYO 11H</t>
        </is>
      </c>
      <c r="D51" s="23" t="inlineStr">
        <is>
          <t>EYO11H</t>
        </is>
      </c>
      <c r="H51" s="23" t="n">
        <v>240000</v>
      </c>
      <c r="I51" s="23" t="n">
        <v>240000</v>
      </c>
      <c r="J51" s="23" t="inlineStr">
        <is>
          <t>efectivo</t>
        </is>
      </c>
    </row>
    <row r="52" hidden="1" customFormat="1" s="23">
      <c r="A52" s="38" t="n">
        <v>46161</v>
      </c>
      <c r="B52" s="23" t="inlineStr">
        <is>
          <t>Dorlys Jose Julio</t>
        </is>
      </c>
      <c r="C52" s="23" t="inlineStr">
        <is>
          <t>Bajaj EYO 11H</t>
        </is>
      </c>
      <c r="D52" s="23" t="inlineStr">
        <is>
          <t>EYO11H</t>
        </is>
      </c>
      <c r="H52" s="23" t="n">
        <v>240000</v>
      </c>
      <c r="I52" s="23" t="n">
        <v>240000</v>
      </c>
      <c r="J52" s="23" t="inlineStr">
        <is>
          <t>efectivo</t>
        </is>
      </c>
    </row>
    <row r="53" hidden="1" customFormat="1" s="23">
      <c r="A53" s="38" t="n">
        <v>46169</v>
      </c>
      <c r="B53" s="23" t="inlineStr">
        <is>
          <t>Dorlys Jose Julio</t>
        </is>
      </c>
      <c r="C53" s="23" t="inlineStr">
        <is>
          <t>Bajaj EYO 11H</t>
        </is>
      </c>
      <c r="D53" s="23" t="inlineStr">
        <is>
          <t>EYO11H</t>
        </is>
      </c>
      <c r="H53" s="23" t="n">
        <v>240000</v>
      </c>
      <c r="I53" s="23" t="n">
        <v>240000</v>
      </c>
      <c r="J53" s="23" t="inlineStr">
        <is>
          <t>efectivo</t>
        </is>
      </c>
    </row>
    <row r="54" hidden="1" customFormat="1" s="23">
      <c r="A54" s="38" t="n">
        <v>46179</v>
      </c>
      <c r="B54" s="23" t="inlineStr">
        <is>
          <t>Dorlys Jose Julio</t>
        </is>
      </c>
      <c r="C54" s="23" t="inlineStr">
        <is>
          <t>Bajaj EYO 11H</t>
        </is>
      </c>
      <c r="D54" s="23" t="inlineStr">
        <is>
          <t>EYO11H</t>
        </is>
      </c>
      <c r="H54" s="23" t="n">
        <v>240000</v>
      </c>
      <c r="I54" s="23" t="n">
        <v>240000</v>
      </c>
      <c r="J54" s="23" t="inlineStr">
        <is>
          <t>efectivo</t>
        </is>
      </c>
    </row>
    <row r="55" hidden="1" customFormat="1" s="23">
      <c r="A55" s="38" t="n">
        <v>46189</v>
      </c>
      <c r="B55" s="23" t="inlineStr">
        <is>
          <t>Dorlys Jose Julio</t>
        </is>
      </c>
      <c r="C55" s="23" t="inlineStr">
        <is>
          <t>Bajaj EYO 11H</t>
        </is>
      </c>
      <c r="D55" s="23" t="inlineStr">
        <is>
          <t>EYO11H</t>
        </is>
      </c>
      <c r="H55" s="23" t="n">
        <v>240000</v>
      </c>
      <c r="I55" s="23" t="n">
        <v>240000</v>
      </c>
      <c r="J55" s="23" t="inlineStr">
        <is>
          <t>efectivo</t>
        </is>
      </c>
    </row>
    <row r="56" hidden="1" customFormat="1" s="23">
      <c r="A56" s="38" t="n">
        <v>46199</v>
      </c>
      <c r="B56" s="23" t="inlineStr">
        <is>
          <t>Dorlys Jose Julio</t>
        </is>
      </c>
      <c r="C56" s="23" t="inlineStr">
        <is>
          <t>Bajaj EYO 11H</t>
        </is>
      </c>
      <c r="D56" s="23" t="inlineStr">
        <is>
          <t>EYO11H</t>
        </is>
      </c>
      <c r="H56" s="23" t="n">
        <v>240000</v>
      </c>
      <c r="I56" s="23" t="n">
        <v>240000</v>
      </c>
      <c r="J56" s="23" t="inlineStr">
        <is>
          <t>efectivo</t>
        </is>
      </c>
    </row>
    <row r="57" hidden="1" customFormat="1" s="23">
      <c r="A57" s="38" t="n">
        <v>46210</v>
      </c>
      <c r="B57" s="23" t="inlineStr">
        <is>
          <t>Dorlys Jose Julio</t>
        </is>
      </c>
      <c r="C57" s="23" t="inlineStr">
        <is>
          <t>Bajaj EYO 11H</t>
        </is>
      </c>
      <c r="D57" s="23" t="inlineStr">
        <is>
          <t>EYO11H</t>
        </is>
      </c>
      <c r="H57" s="23" t="n">
        <v>240000</v>
      </c>
      <c r="I57" s="23" t="n">
        <v>240000</v>
      </c>
      <c r="J57" s="23" t="inlineStr">
        <is>
          <t>efectivo</t>
        </is>
      </c>
    </row>
    <row r="58" hidden="1" customFormat="1" s="23">
      <c r="A58" s="38" t="n">
        <v>46219</v>
      </c>
      <c r="B58" s="23" t="inlineStr">
        <is>
          <t>Dorlys Jose Julio</t>
        </is>
      </c>
      <c r="C58" s="23" t="inlineStr">
        <is>
          <t>Bajaj EYO 11H</t>
        </is>
      </c>
      <c r="D58" s="23" t="inlineStr">
        <is>
          <t>EYO11H</t>
        </is>
      </c>
      <c r="H58" s="23" t="n">
        <v>240000</v>
      </c>
      <c r="I58" s="23" t="n">
        <v>240000</v>
      </c>
      <c r="J58" s="23" t="inlineStr">
        <is>
          <t>efectivo</t>
        </is>
      </c>
    </row>
    <row r="59" hidden="1" customFormat="1" s="23">
      <c r="A59" s="38" t="n">
        <v>45652</v>
      </c>
      <c r="B59" s="23" t="inlineStr">
        <is>
          <t>Elkin Espitia Payares</t>
        </is>
      </c>
      <c r="C59" s="23" t="inlineStr">
        <is>
          <t>Bajaj EYO 06H</t>
        </is>
      </c>
      <c r="D59" s="23" t="inlineStr">
        <is>
          <t>EYO06H</t>
        </is>
      </c>
      <c r="H59" s="23" t="n">
        <v>240000</v>
      </c>
      <c r="I59" s="23" t="n">
        <v>240000</v>
      </c>
      <c r="J59" s="23" t="inlineStr">
        <is>
          <t>efectivo</t>
        </is>
      </c>
    </row>
    <row r="60" hidden="1" customFormat="1" s="23">
      <c r="A60" s="38" t="n">
        <v>45659</v>
      </c>
      <c r="B60" s="23" t="inlineStr">
        <is>
          <t>Elkin Espitia Payares</t>
        </is>
      </c>
      <c r="C60" s="23" t="inlineStr">
        <is>
          <t>Bajaj EYO 06H</t>
        </is>
      </c>
      <c r="D60" s="23" t="inlineStr">
        <is>
          <t>EYO06H</t>
        </is>
      </c>
      <c r="H60" s="23" t="n">
        <v>240000</v>
      </c>
      <c r="I60" s="23" t="n">
        <v>240000</v>
      </c>
      <c r="J60" s="23" t="inlineStr">
        <is>
          <t>efectivo</t>
        </is>
      </c>
    </row>
    <row r="61" hidden="1" customFormat="1" s="23">
      <c r="A61" s="38" t="n">
        <v>45666</v>
      </c>
      <c r="B61" s="23" t="inlineStr">
        <is>
          <t>Elkin Espitia Payares</t>
        </is>
      </c>
      <c r="C61" s="23" t="inlineStr">
        <is>
          <t>Bajaj EYO 06H</t>
        </is>
      </c>
      <c r="D61" s="23" t="inlineStr">
        <is>
          <t>EYO06H</t>
        </is>
      </c>
      <c r="H61" s="23" t="n">
        <v>240000</v>
      </c>
      <c r="I61" s="23" t="n">
        <v>240000</v>
      </c>
      <c r="J61" s="23" t="inlineStr">
        <is>
          <t>efectivo</t>
        </is>
      </c>
    </row>
    <row r="62" hidden="1" customFormat="1" s="23">
      <c r="A62" s="38" t="n">
        <v>45673</v>
      </c>
      <c r="B62" s="23" t="inlineStr">
        <is>
          <t>Elkin Espitia Payares</t>
        </is>
      </c>
      <c r="C62" s="23" t="inlineStr">
        <is>
          <t>Bajaj EYO 06H</t>
        </is>
      </c>
      <c r="D62" s="23" t="inlineStr">
        <is>
          <t>EYO06H</t>
        </is>
      </c>
      <c r="H62" s="23" t="n">
        <v>240000</v>
      </c>
      <c r="I62" s="23" t="n">
        <v>240000</v>
      </c>
      <c r="J62" s="23" t="inlineStr">
        <is>
          <t>efectivo</t>
        </is>
      </c>
    </row>
    <row r="63" hidden="1" customFormat="1" s="23">
      <c r="A63" s="38" t="n">
        <v>45684</v>
      </c>
      <c r="B63" s="23" t="inlineStr">
        <is>
          <t>Elkin Espitia Payares</t>
        </is>
      </c>
      <c r="C63" s="23" t="inlineStr">
        <is>
          <t>Bajaj EYO 06H</t>
        </is>
      </c>
      <c r="D63" s="23" t="inlineStr">
        <is>
          <t>EYO06H</t>
        </is>
      </c>
      <c r="H63" s="23" t="n">
        <v>240000</v>
      </c>
      <c r="I63" s="23" t="n">
        <v>240000</v>
      </c>
      <c r="J63" s="23" t="inlineStr">
        <is>
          <t>efectivo</t>
        </is>
      </c>
    </row>
    <row r="64" hidden="1" customFormat="1" s="23">
      <c r="A64" s="38" t="n">
        <v>45692</v>
      </c>
      <c r="B64" s="23" t="inlineStr">
        <is>
          <t>Elkin Espitia Payares</t>
        </is>
      </c>
      <c r="C64" s="23" t="inlineStr">
        <is>
          <t>Bajaj EYO 06H</t>
        </is>
      </c>
      <c r="D64" s="23" t="inlineStr">
        <is>
          <t>EYO06H</t>
        </is>
      </c>
      <c r="H64" s="23" t="n">
        <v>240000</v>
      </c>
      <c r="I64" s="23" t="n">
        <v>240000</v>
      </c>
      <c r="J64" s="23" t="inlineStr">
        <is>
          <t>efectivo</t>
        </is>
      </c>
    </row>
    <row r="65" hidden="1" customFormat="1" s="23">
      <c r="A65" s="38" t="n">
        <v>45710</v>
      </c>
      <c r="B65" s="23" t="inlineStr">
        <is>
          <t>Elkin Espitia Payares</t>
        </is>
      </c>
      <c r="C65" s="23" t="inlineStr">
        <is>
          <t>Bajaj EYO 06H</t>
        </is>
      </c>
      <c r="D65" s="23" t="inlineStr">
        <is>
          <t>EYO06H</t>
        </is>
      </c>
      <c r="H65" s="23" t="n">
        <v>240000</v>
      </c>
      <c r="I65" s="23" t="n">
        <v>240000</v>
      </c>
      <c r="J65" s="23" t="inlineStr">
        <is>
          <t>efectivo</t>
        </is>
      </c>
    </row>
    <row r="66" hidden="1" customFormat="1" s="23">
      <c r="A66" s="38" t="n">
        <v>45718</v>
      </c>
      <c r="B66" s="23" t="inlineStr">
        <is>
          <t>Elkin Espitia Payares</t>
        </is>
      </c>
      <c r="C66" s="23" t="inlineStr">
        <is>
          <t>Bajaj EYO 06H</t>
        </is>
      </c>
      <c r="D66" s="23" t="inlineStr">
        <is>
          <t>EYO06H</t>
        </is>
      </c>
      <c r="H66" s="23" t="n">
        <v>240000</v>
      </c>
      <c r="I66" s="23" t="n">
        <v>240000</v>
      </c>
      <c r="J66" s="23" t="inlineStr">
        <is>
          <t>efectivo</t>
        </is>
      </c>
    </row>
    <row r="67" hidden="1" customFormat="1" s="23">
      <c r="A67" s="38" t="n">
        <v>45727</v>
      </c>
      <c r="B67" s="23" t="inlineStr">
        <is>
          <t>Elkin Espitia Payares</t>
        </is>
      </c>
      <c r="C67" s="23" t="inlineStr">
        <is>
          <t>Bajaj EYO 06H</t>
        </is>
      </c>
      <c r="D67" s="23" t="inlineStr">
        <is>
          <t>EYO06H</t>
        </is>
      </c>
      <c r="H67" s="23" t="n">
        <v>240000</v>
      </c>
      <c r="I67" s="23" t="n">
        <v>240000</v>
      </c>
      <c r="J67" s="23" t="inlineStr">
        <is>
          <t>efectivo</t>
        </is>
      </c>
    </row>
    <row r="68" hidden="1" customFormat="1" s="23">
      <c r="A68" s="38" t="n">
        <v>45735</v>
      </c>
      <c r="B68" s="23" t="inlineStr">
        <is>
          <t>Elkin Espitia Payares</t>
        </is>
      </c>
      <c r="C68" s="23" t="inlineStr">
        <is>
          <t>Bajaj EYO 06H</t>
        </is>
      </c>
      <c r="D68" s="23" t="inlineStr">
        <is>
          <t>EYO06H</t>
        </is>
      </c>
      <c r="H68" s="23" t="n">
        <v>240000</v>
      </c>
      <c r="I68" s="23" t="n">
        <v>240000</v>
      </c>
      <c r="J68" s="23" t="inlineStr">
        <is>
          <t>efectivo</t>
        </is>
      </c>
    </row>
    <row r="69" hidden="1" customFormat="1" s="23">
      <c r="A69" s="38" t="n">
        <v>45743</v>
      </c>
      <c r="B69" s="23" t="inlineStr">
        <is>
          <t>Elkin Espitia Payares</t>
        </is>
      </c>
      <c r="C69" s="23" t="inlineStr">
        <is>
          <t>Bajaj EYO 06H</t>
        </is>
      </c>
      <c r="D69" s="23" t="inlineStr">
        <is>
          <t>EYO06H</t>
        </is>
      </c>
      <c r="H69" s="23" t="n">
        <v>240000</v>
      </c>
      <c r="I69" s="23" t="n">
        <v>240000</v>
      </c>
      <c r="J69" s="23" t="inlineStr">
        <is>
          <t>efectivo</t>
        </is>
      </c>
    </row>
    <row r="70" hidden="1" customFormat="1" s="23">
      <c r="A70" s="38" t="n">
        <v>45751</v>
      </c>
      <c r="B70" s="23" t="inlineStr">
        <is>
          <t>Elkin Espitia Payares</t>
        </is>
      </c>
      <c r="C70" s="23" t="inlineStr">
        <is>
          <t>Bajaj EYO 06H</t>
        </is>
      </c>
      <c r="D70" s="23" t="inlineStr">
        <is>
          <t>EYO06H</t>
        </is>
      </c>
      <c r="H70" s="23" t="n">
        <v>240000</v>
      </c>
      <c r="I70" s="23" t="n">
        <v>240000</v>
      </c>
      <c r="J70" s="23" t="inlineStr">
        <is>
          <t>efectivo</t>
        </is>
      </c>
    </row>
    <row r="71" hidden="1" customFormat="1" s="23">
      <c r="A71" s="38" t="n">
        <v>45759</v>
      </c>
      <c r="B71" s="23" t="inlineStr">
        <is>
          <t>Elkin Espitia Payares</t>
        </is>
      </c>
      <c r="C71" s="23" t="inlineStr">
        <is>
          <t>Bajaj EYO 06H</t>
        </is>
      </c>
      <c r="D71" s="23" t="inlineStr">
        <is>
          <t>EYO06H</t>
        </is>
      </c>
      <c r="H71" s="23" t="n">
        <v>240000</v>
      </c>
      <c r="I71" s="23" t="n">
        <v>240000</v>
      </c>
      <c r="J71" s="23" t="inlineStr">
        <is>
          <t>efectivo</t>
        </is>
      </c>
    </row>
    <row r="72" hidden="1" customFormat="1" s="23">
      <c r="A72" s="38" t="n">
        <v>45767</v>
      </c>
      <c r="B72" s="23" t="inlineStr">
        <is>
          <t>Elkin Espitia Payares</t>
        </is>
      </c>
      <c r="C72" s="23" t="inlineStr">
        <is>
          <t>Bajaj EYO 06H</t>
        </is>
      </c>
      <c r="D72" s="23" t="inlineStr">
        <is>
          <t>EYO06H</t>
        </is>
      </c>
      <c r="H72" s="23" t="n">
        <v>240000</v>
      </c>
      <c r="I72" s="23" t="n">
        <v>240000</v>
      </c>
      <c r="J72" s="23" t="inlineStr">
        <is>
          <t>efectivo</t>
        </is>
      </c>
    </row>
    <row r="73" hidden="1" customFormat="1" s="23">
      <c r="A73" s="38" t="n">
        <v>45775</v>
      </c>
      <c r="B73" s="23" t="inlineStr">
        <is>
          <t>Elkin Espitia Payares</t>
        </is>
      </c>
      <c r="C73" s="23" t="inlineStr">
        <is>
          <t>Bajaj EYO 06H</t>
        </is>
      </c>
      <c r="D73" s="23" t="inlineStr">
        <is>
          <t>EYO06H</t>
        </is>
      </c>
      <c r="H73" s="23" t="n">
        <v>240000</v>
      </c>
      <c r="I73" s="23" t="n">
        <v>240000</v>
      </c>
      <c r="J73" s="23" t="inlineStr">
        <is>
          <t>efectivo</t>
        </is>
      </c>
    </row>
    <row r="74" hidden="1" customFormat="1" s="23">
      <c r="A74" s="38" t="n">
        <v>45783</v>
      </c>
      <c r="B74" s="23" t="inlineStr">
        <is>
          <t>Elkin Espitia Payares</t>
        </is>
      </c>
      <c r="C74" s="23" t="inlineStr">
        <is>
          <t>Bajaj EYO 06H</t>
        </is>
      </c>
      <c r="D74" s="23" t="inlineStr">
        <is>
          <t>EYO06H</t>
        </is>
      </c>
      <c r="H74" s="23" t="n">
        <v>240000</v>
      </c>
      <c r="I74" s="23" t="n">
        <v>240000</v>
      </c>
      <c r="J74" s="23" t="inlineStr">
        <is>
          <t>efectivo</t>
        </is>
      </c>
    </row>
    <row r="75" hidden="1" customFormat="1" s="23">
      <c r="A75" s="38" t="n">
        <v>45793</v>
      </c>
      <c r="B75" s="23" t="inlineStr">
        <is>
          <t>Elkin Espitia Payares</t>
        </is>
      </c>
      <c r="C75" s="23" t="inlineStr">
        <is>
          <t>Bajaj EYO 06H</t>
        </is>
      </c>
      <c r="D75" s="23" t="inlineStr">
        <is>
          <t>EYO06H</t>
        </is>
      </c>
      <c r="H75" s="23" t="n">
        <v>240000</v>
      </c>
      <c r="I75" s="23" t="n">
        <v>240000</v>
      </c>
      <c r="J75" s="23" t="inlineStr">
        <is>
          <t>efectivo</t>
        </is>
      </c>
    </row>
    <row r="76" hidden="1" customFormat="1" s="23">
      <c r="A76" s="38" t="n">
        <v>45801</v>
      </c>
      <c r="B76" s="23" t="inlineStr">
        <is>
          <t>Elkin Espitia Payares</t>
        </is>
      </c>
      <c r="C76" s="23" t="inlineStr">
        <is>
          <t>Bajaj EYO 06H</t>
        </is>
      </c>
      <c r="D76" s="23" t="inlineStr">
        <is>
          <t>EYO06H</t>
        </is>
      </c>
      <c r="H76" s="23" t="n">
        <v>240000</v>
      </c>
      <c r="I76" s="23" t="n">
        <v>240000</v>
      </c>
      <c r="J76" s="23" t="inlineStr">
        <is>
          <t>efectivo</t>
        </is>
      </c>
    </row>
    <row r="77" hidden="1" customFormat="1" s="23">
      <c r="A77" s="38" t="n">
        <v>45811</v>
      </c>
      <c r="B77" s="23" t="inlineStr">
        <is>
          <t>Elkin Espitia Payares</t>
        </is>
      </c>
      <c r="C77" s="23" t="inlineStr">
        <is>
          <t>Bajaj EYO 06H</t>
        </is>
      </c>
      <c r="D77" s="23" t="inlineStr">
        <is>
          <t>EYO06H</t>
        </is>
      </c>
      <c r="H77" s="23" t="n">
        <v>240000</v>
      </c>
      <c r="I77" s="23" t="n">
        <v>240000</v>
      </c>
      <c r="J77" s="23" t="inlineStr">
        <is>
          <t>efectivo</t>
        </is>
      </c>
    </row>
    <row r="78" hidden="1" customFormat="1" s="23">
      <c r="A78" s="38" t="n">
        <v>45816</v>
      </c>
      <c r="B78" s="23" t="inlineStr">
        <is>
          <t>Elkin Espitia Payares</t>
        </is>
      </c>
      <c r="C78" s="23" t="inlineStr">
        <is>
          <t>Bajaj EYO 06H</t>
        </is>
      </c>
      <c r="D78" s="23" t="inlineStr">
        <is>
          <t>EYO06H</t>
        </is>
      </c>
      <c r="H78" s="23" t="n">
        <v>240000</v>
      </c>
      <c r="I78" s="23" t="n">
        <v>240000</v>
      </c>
      <c r="J78" s="23" t="inlineStr">
        <is>
          <t>efectivo</t>
        </is>
      </c>
    </row>
    <row r="79" hidden="1" customFormat="1" s="23">
      <c r="A79" s="38" t="n">
        <v>45827</v>
      </c>
      <c r="B79" s="23" t="inlineStr">
        <is>
          <t>Elkin Espitia Payares</t>
        </is>
      </c>
      <c r="C79" s="23" t="inlineStr">
        <is>
          <t>Bajaj EYO 06H</t>
        </is>
      </c>
      <c r="D79" s="23" t="inlineStr">
        <is>
          <t>EYO06H</t>
        </is>
      </c>
      <c r="H79" s="23" t="n">
        <v>240000</v>
      </c>
      <c r="I79" s="23" t="n">
        <v>240000</v>
      </c>
      <c r="J79" s="23" t="inlineStr">
        <is>
          <t>efectivo</t>
        </is>
      </c>
    </row>
    <row r="80" hidden="1" customFormat="1" s="23">
      <c r="A80" s="38" t="n">
        <v>45838</v>
      </c>
      <c r="B80" s="23" t="inlineStr">
        <is>
          <t>Elkin Espitia Payares</t>
        </is>
      </c>
      <c r="C80" s="23" t="inlineStr">
        <is>
          <t>Bajaj EYO 06H</t>
        </is>
      </c>
      <c r="D80" s="23" t="inlineStr">
        <is>
          <t>EYO06H</t>
        </is>
      </c>
      <c r="H80" s="23" t="n">
        <v>240000</v>
      </c>
      <c r="I80" s="23" t="n">
        <v>240000</v>
      </c>
      <c r="J80" s="23" t="inlineStr">
        <is>
          <t>efectivo</t>
        </is>
      </c>
    </row>
    <row r="81" hidden="1" customFormat="1" s="23">
      <c r="A81" s="38" t="n">
        <v>45847</v>
      </c>
      <c r="B81" s="23" t="inlineStr">
        <is>
          <t>Elkin Espitia Payares</t>
        </is>
      </c>
      <c r="C81" s="23" t="inlineStr">
        <is>
          <t>Bajaj EYO 06H</t>
        </is>
      </c>
      <c r="D81" s="23" t="inlineStr">
        <is>
          <t>EYO06H</t>
        </is>
      </c>
      <c r="H81" s="23" t="n">
        <v>240000</v>
      </c>
      <c r="I81" s="23" t="n">
        <v>240000</v>
      </c>
      <c r="J81" s="23" t="inlineStr">
        <is>
          <t>efectivo</t>
        </is>
      </c>
    </row>
    <row r="82" hidden="1" customFormat="1" s="23">
      <c r="A82" s="38" t="n">
        <v>45856</v>
      </c>
      <c r="B82" s="23" t="inlineStr">
        <is>
          <t>Elkin Espitia Payares</t>
        </is>
      </c>
      <c r="C82" s="23" t="inlineStr">
        <is>
          <t>Bajaj EYO 06H</t>
        </is>
      </c>
      <c r="D82" s="23" t="inlineStr">
        <is>
          <t>EYO06H</t>
        </is>
      </c>
      <c r="H82" s="23" t="n">
        <v>240000</v>
      </c>
      <c r="I82" s="23" t="n">
        <v>240000</v>
      </c>
      <c r="J82" s="23" t="inlineStr">
        <is>
          <t>efectivo</t>
        </is>
      </c>
    </row>
    <row r="83" hidden="1" customFormat="1" s="23">
      <c r="A83" s="38" t="n">
        <v>45867</v>
      </c>
      <c r="B83" s="23" t="inlineStr">
        <is>
          <t>Elkin Espitia Payares</t>
        </is>
      </c>
      <c r="C83" s="23" t="inlineStr">
        <is>
          <t>Bajaj EYO 06H</t>
        </is>
      </c>
      <c r="D83" s="23" t="inlineStr">
        <is>
          <t>EYO06H</t>
        </is>
      </c>
      <c r="H83" s="23" t="n">
        <v>240000</v>
      </c>
      <c r="I83" s="23" t="n">
        <v>240000</v>
      </c>
      <c r="J83" s="23" t="inlineStr">
        <is>
          <t>efectivo</t>
        </is>
      </c>
    </row>
    <row r="84" hidden="1" customFormat="1" s="23">
      <c r="A84" s="38" t="n">
        <v>45876</v>
      </c>
      <c r="B84" s="23" t="inlineStr">
        <is>
          <t>Elkin Espitia Payares</t>
        </is>
      </c>
      <c r="C84" s="23" t="inlineStr">
        <is>
          <t>Bajaj EYO 06H</t>
        </is>
      </c>
      <c r="D84" s="23" t="inlineStr">
        <is>
          <t>EYO06H</t>
        </is>
      </c>
      <c r="H84" s="23" t="n">
        <v>240000</v>
      </c>
      <c r="I84" s="23" t="n">
        <v>240000</v>
      </c>
      <c r="J84" s="23" t="inlineStr">
        <is>
          <t>efectivo</t>
        </is>
      </c>
    </row>
    <row r="85" hidden="1" customFormat="1" s="23">
      <c r="A85" s="38" t="n">
        <v>45885</v>
      </c>
      <c r="B85" s="23" t="inlineStr">
        <is>
          <t>Elkin Espitia Payares</t>
        </is>
      </c>
      <c r="C85" s="23" t="inlineStr">
        <is>
          <t>Bajaj EYO 06H</t>
        </is>
      </c>
      <c r="D85" s="23" t="inlineStr">
        <is>
          <t>EYO06H</t>
        </is>
      </c>
      <c r="H85" s="23" t="n">
        <v>240000</v>
      </c>
      <c r="I85" s="23" t="n">
        <v>240000</v>
      </c>
      <c r="J85" s="23" t="inlineStr">
        <is>
          <t>efectivo</t>
        </is>
      </c>
    </row>
    <row r="86" hidden="1" customFormat="1" s="23">
      <c r="A86" s="38" t="n">
        <v>45893</v>
      </c>
      <c r="B86" s="23" t="inlineStr">
        <is>
          <t>Elkin Espitia Payares</t>
        </is>
      </c>
      <c r="C86" s="23" t="inlineStr">
        <is>
          <t>Bajaj EYO 06H</t>
        </is>
      </c>
      <c r="D86" s="23" t="inlineStr">
        <is>
          <t>EYO06H</t>
        </is>
      </c>
      <c r="H86" s="23" t="n">
        <v>240000</v>
      </c>
      <c r="I86" s="23" t="n">
        <v>240000</v>
      </c>
      <c r="J86" s="23" t="inlineStr">
        <is>
          <t>efectivo</t>
        </is>
      </c>
    </row>
    <row r="87" hidden="1" customFormat="1" s="23">
      <c r="A87" s="38" t="n">
        <v>45902</v>
      </c>
      <c r="B87" s="23" t="inlineStr">
        <is>
          <t>Elkin Espitia Payares</t>
        </is>
      </c>
      <c r="C87" s="23" t="inlineStr">
        <is>
          <t>Bajaj EYO 06H</t>
        </is>
      </c>
      <c r="D87" s="23" t="inlineStr">
        <is>
          <t>EYO06H</t>
        </is>
      </c>
      <c r="H87" s="23" t="n">
        <v>240000</v>
      </c>
      <c r="I87" s="23" t="n">
        <v>240000</v>
      </c>
      <c r="J87" s="23" t="inlineStr">
        <is>
          <t>efectivo</t>
        </is>
      </c>
    </row>
    <row r="88" hidden="1" customFormat="1" s="23">
      <c r="A88" s="38" t="n">
        <v>45910</v>
      </c>
      <c r="B88" s="23" t="inlineStr">
        <is>
          <t>Elkin Espitia Payares</t>
        </is>
      </c>
      <c r="C88" s="23" t="inlineStr">
        <is>
          <t>Bajaj EYO 06H</t>
        </is>
      </c>
      <c r="D88" s="23" t="inlineStr">
        <is>
          <t>EYO06H</t>
        </is>
      </c>
      <c r="H88" s="23" t="n">
        <v>240000</v>
      </c>
      <c r="I88" s="23" t="n">
        <v>240000</v>
      </c>
      <c r="J88" s="23" t="inlineStr">
        <is>
          <t>efectivo</t>
        </is>
      </c>
    </row>
    <row r="89" hidden="1" customFormat="1" s="23">
      <c r="A89" s="38" t="n">
        <v>45918</v>
      </c>
      <c r="B89" s="23" t="inlineStr">
        <is>
          <t>Elkin Espitia Payares</t>
        </is>
      </c>
      <c r="C89" s="23" t="inlineStr">
        <is>
          <t>Bajaj EYO 06H</t>
        </is>
      </c>
      <c r="D89" s="23" t="inlineStr">
        <is>
          <t>EYO06H</t>
        </is>
      </c>
      <c r="H89" s="23" t="n">
        <v>240000</v>
      </c>
      <c r="I89" s="23" t="n">
        <v>240000</v>
      </c>
      <c r="J89" s="23" t="inlineStr">
        <is>
          <t>efectivo</t>
        </is>
      </c>
    </row>
    <row r="90" hidden="1" customFormat="1" s="23">
      <c r="A90" s="38" t="n">
        <v>45926</v>
      </c>
      <c r="B90" s="23" t="inlineStr">
        <is>
          <t>Elkin Espitia Payares</t>
        </is>
      </c>
      <c r="C90" s="23" t="inlineStr">
        <is>
          <t>Bajaj EYO 06H</t>
        </is>
      </c>
      <c r="D90" s="23" t="inlineStr">
        <is>
          <t>EYO06H</t>
        </is>
      </c>
      <c r="H90" s="23" t="n">
        <v>240000</v>
      </c>
      <c r="I90" s="23" t="n">
        <v>240000</v>
      </c>
      <c r="J90" s="23" t="inlineStr">
        <is>
          <t>efectivo</t>
        </is>
      </c>
    </row>
    <row r="91" hidden="1" customFormat="1" s="23">
      <c r="A91" s="38" t="n">
        <v>45934</v>
      </c>
      <c r="B91" s="23" t="inlineStr">
        <is>
          <t>Elkin Espitia Payares</t>
        </is>
      </c>
      <c r="C91" s="23" t="inlineStr">
        <is>
          <t>Bajaj EYO 06H</t>
        </is>
      </c>
      <c r="D91" s="23" t="inlineStr">
        <is>
          <t>EYO06H</t>
        </is>
      </c>
      <c r="H91" s="23" t="n">
        <v>240000</v>
      </c>
      <c r="I91" s="23" t="n">
        <v>240000</v>
      </c>
      <c r="J91" s="23" t="inlineStr">
        <is>
          <t>efectivo</t>
        </is>
      </c>
    </row>
    <row r="92" hidden="1" customFormat="1" s="23">
      <c r="A92" s="38" t="n">
        <v>45941</v>
      </c>
      <c r="B92" s="23" t="inlineStr">
        <is>
          <t>Elkin Espitia Payares</t>
        </is>
      </c>
      <c r="C92" s="23" t="inlineStr">
        <is>
          <t>Bajaj EYO 06H</t>
        </is>
      </c>
      <c r="D92" s="23" t="inlineStr">
        <is>
          <t>EYO06H</t>
        </is>
      </c>
      <c r="H92" s="23" t="n">
        <v>240000</v>
      </c>
      <c r="I92" s="23" t="n">
        <v>240000</v>
      </c>
      <c r="J92" s="23" t="inlineStr">
        <is>
          <t>efectivo</t>
        </is>
      </c>
    </row>
    <row r="93" hidden="1" customFormat="1" s="23">
      <c r="A93" s="38" t="n">
        <v>45951</v>
      </c>
      <c r="B93" s="23" t="inlineStr">
        <is>
          <t>Elkin Espitia Payares</t>
        </is>
      </c>
      <c r="C93" s="23" t="inlineStr">
        <is>
          <t>Bajaj EYO 06H</t>
        </is>
      </c>
      <c r="D93" s="23" t="inlineStr">
        <is>
          <t>EYO06H</t>
        </is>
      </c>
      <c r="H93" s="23" t="n">
        <v>240000</v>
      </c>
      <c r="I93" s="23" t="n">
        <v>240000</v>
      </c>
      <c r="J93" s="23" t="inlineStr">
        <is>
          <t>efectivo</t>
        </is>
      </c>
    </row>
    <row r="94" hidden="1" customFormat="1" s="23">
      <c r="A94" s="38" t="n">
        <v>45961</v>
      </c>
      <c r="B94" s="23" t="inlineStr">
        <is>
          <t>Elkin Espitia Payares</t>
        </is>
      </c>
      <c r="C94" s="23" t="inlineStr">
        <is>
          <t>Bajaj EYO 06H</t>
        </is>
      </c>
      <c r="D94" s="23" t="inlineStr">
        <is>
          <t>EYO06H</t>
        </is>
      </c>
      <c r="H94" s="23" t="n">
        <v>240000</v>
      </c>
      <c r="I94" s="23" t="n">
        <v>240000</v>
      </c>
      <c r="J94" s="23" t="inlineStr">
        <is>
          <t>efectivo</t>
        </is>
      </c>
    </row>
    <row r="95" hidden="1" customFormat="1" s="23">
      <c r="A95" s="38" t="n">
        <v>45970</v>
      </c>
      <c r="B95" s="23" t="inlineStr">
        <is>
          <t>Elkin Espitia Payares</t>
        </is>
      </c>
      <c r="C95" s="23" t="inlineStr">
        <is>
          <t>Bajaj EYO 06H</t>
        </is>
      </c>
      <c r="D95" s="23" t="inlineStr">
        <is>
          <t>EYO06H</t>
        </is>
      </c>
      <c r="H95" s="23" t="n">
        <v>240000</v>
      </c>
      <c r="I95" s="23" t="n">
        <v>240000</v>
      </c>
      <c r="J95" s="23" t="inlineStr">
        <is>
          <t>efectivo</t>
        </is>
      </c>
    </row>
    <row r="96" hidden="1" customFormat="1" s="23">
      <c r="A96" s="38" t="n">
        <v>45980</v>
      </c>
      <c r="B96" s="23" t="inlineStr">
        <is>
          <t>Elkin Espitia Payares</t>
        </is>
      </c>
      <c r="C96" s="23" t="inlineStr">
        <is>
          <t>Bajaj EYO 06H</t>
        </is>
      </c>
      <c r="D96" s="23" t="inlineStr">
        <is>
          <t>EYO06H</t>
        </is>
      </c>
      <c r="H96" s="23" t="n">
        <v>240000</v>
      </c>
      <c r="I96" s="23" t="n">
        <v>240000</v>
      </c>
      <c r="J96" s="23" t="inlineStr">
        <is>
          <t>efectivo</t>
        </is>
      </c>
    </row>
    <row r="97" hidden="1" customFormat="1" s="23">
      <c r="A97" s="38" t="n">
        <v>45987</v>
      </c>
      <c r="B97" s="23" t="inlineStr">
        <is>
          <t>Elkin Espitia Payares</t>
        </is>
      </c>
      <c r="C97" s="23" t="inlineStr">
        <is>
          <t>Bajaj EYO 06H</t>
        </is>
      </c>
      <c r="D97" s="23" t="inlineStr">
        <is>
          <t>EYO06H</t>
        </is>
      </c>
      <c r="H97" s="23" t="n">
        <v>240000</v>
      </c>
      <c r="I97" s="23" t="n">
        <v>240000</v>
      </c>
      <c r="J97" s="23" t="inlineStr">
        <is>
          <t>efectivo</t>
        </is>
      </c>
    </row>
    <row r="98" hidden="1" customFormat="1" s="23">
      <c r="A98" s="38" t="n">
        <v>45997</v>
      </c>
      <c r="B98" s="23" t="inlineStr">
        <is>
          <t>Elkin Espitia Payares</t>
        </is>
      </c>
      <c r="C98" s="23" t="inlineStr">
        <is>
          <t>Bajaj EYO 06H</t>
        </is>
      </c>
      <c r="D98" s="23" t="inlineStr">
        <is>
          <t>EYO06H</t>
        </is>
      </c>
      <c r="H98" s="23" t="n">
        <v>240000</v>
      </c>
      <c r="I98" s="23" t="n">
        <v>240000</v>
      </c>
      <c r="J98" s="23" t="inlineStr">
        <is>
          <t>efectivo</t>
        </is>
      </c>
    </row>
    <row r="99" hidden="1" customFormat="1" s="23">
      <c r="A99" s="38" t="n">
        <v>46005</v>
      </c>
      <c r="B99" s="23" t="inlineStr">
        <is>
          <t>Elkin Espitia Payares</t>
        </is>
      </c>
      <c r="C99" s="23" t="inlineStr">
        <is>
          <t>Bajaj EYO 06H</t>
        </is>
      </c>
      <c r="D99" s="23" t="inlineStr">
        <is>
          <t>EYO06H</t>
        </is>
      </c>
      <c r="H99" s="23" t="n">
        <v>240000</v>
      </c>
      <c r="I99" s="23" t="n">
        <v>240000</v>
      </c>
      <c r="J99" s="23" t="inlineStr">
        <is>
          <t>efectivo</t>
        </is>
      </c>
    </row>
    <row r="100" hidden="1" customFormat="1" s="23">
      <c r="A100" s="38" t="n">
        <v>46014</v>
      </c>
      <c r="B100" s="23" t="inlineStr">
        <is>
          <t>Elkin Espitia Payares</t>
        </is>
      </c>
      <c r="C100" s="23" t="inlineStr">
        <is>
          <t>Bajaj EYO 06H</t>
        </is>
      </c>
      <c r="D100" s="23" t="inlineStr">
        <is>
          <t>EYO06H</t>
        </is>
      </c>
      <c r="H100" s="23" t="n">
        <v>240000</v>
      </c>
      <c r="I100" s="23" t="n">
        <v>240000</v>
      </c>
      <c r="J100" s="23" t="inlineStr">
        <is>
          <t>efectivo</t>
        </is>
      </c>
    </row>
    <row r="101" hidden="1" customFormat="1" s="23">
      <c r="A101" s="38" t="n">
        <v>46029</v>
      </c>
      <c r="B101" s="23" t="inlineStr">
        <is>
          <t>Elkin Espitia Payares</t>
        </is>
      </c>
      <c r="C101" s="23" t="inlineStr">
        <is>
          <t>Bajaj EYO 06H</t>
        </is>
      </c>
      <c r="D101" s="23" t="inlineStr">
        <is>
          <t>EYO06H</t>
        </is>
      </c>
      <c r="H101" s="23" t="n">
        <v>240000</v>
      </c>
      <c r="I101" s="23" t="n">
        <v>240000</v>
      </c>
      <c r="J101" s="23" t="inlineStr">
        <is>
          <t>efectivo</t>
        </is>
      </c>
    </row>
    <row r="102" hidden="1" customFormat="1" s="23">
      <c r="A102" s="38" t="n">
        <v>46038</v>
      </c>
      <c r="B102" s="23" t="inlineStr">
        <is>
          <t>Elkin Espitia Payares</t>
        </is>
      </c>
      <c r="C102" s="23" t="inlineStr">
        <is>
          <t>Bajaj EYO 06H</t>
        </is>
      </c>
      <c r="D102" s="23" t="inlineStr">
        <is>
          <t>EYO06H</t>
        </is>
      </c>
      <c r="H102" s="23" t="n">
        <v>240000</v>
      </c>
      <c r="I102" s="23" t="n">
        <v>240000</v>
      </c>
      <c r="J102" s="23" t="inlineStr">
        <is>
          <t>efectivo</t>
        </is>
      </c>
    </row>
    <row r="103" hidden="1" customFormat="1" s="23">
      <c r="A103" s="38" t="n">
        <v>46046</v>
      </c>
      <c r="B103" s="23" t="inlineStr">
        <is>
          <t>Elkin Espitia Payares</t>
        </is>
      </c>
      <c r="C103" s="23" t="inlineStr">
        <is>
          <t>Bajaj EYO 06H</t>
        </is>
      </c>
      <c r="D103" s="23" t="inlineStr">
        <is>
          <t>EYO06H</t>
        </is>
      </c>
      <c r="H103" s="23" t="n">
        <v>240000</v>
      </c>
      <c r="I103" s="23" t="n">
        <v>240000</v>
      </c>
      <c r="J103" s="23" t="inlineStr">
        <is>
          <t>efectivo</t>
        </is>
      </c>
    </row>
    <row r="104" hidden="1" customFormat="1" s="23">
      <c r="A104" s="38" t="n">
        <v>46055</v>
      </c>
      <c r="B104" s="23" t="inlineStr">
        <is>
          <t>Elkin Espitia Payares</t>
        </is>
      </c>
      <c r="C104" s="23" t="inlineStr">
        <is>
          <t>Bajaj EYO 06H</t>
        </is>
      </c>
      <c r="D104" s="23" t="inlineStr">
        <is>
          <t>EYO06H</t>
        </is>
      </c>
      <c r="H104" s="23" t="n">
        <v>240000</v>
      </c>
      <c r="I104" s="23" t="n">
        <v>240000</v>
      </c>
      <c r="J104" s="23" t="inlineStr">
        <is>
          <t>efectivo</t>
        </is>
      </c>
    </row>
    <row r="105" hidden="1" customFormat="1" s="23">
      <c r="A105" s="38" t="n">
        <v>46066</v>
      </c>
      <c r="B105" s="23" t="inlineStr">
        <is>
          <t>Elkin Espitia Payares</t>
        </is>
      </c>
      <c r="C105" s="23" t="inlineStr">
        <is>
          <t>Bajaj EYO 06H</t>
        </is>
      </c>
      <c r="D105" s="23" t="inlineStr">
        <is>
          <t>EYO06H</t>
        </is>
      </c>
      <c r="H105" s="23" t="n">
        <v>240000</v>
      </c>
      <c r="I105" s="23" t="n">
        <v>240000</v>
      </c>
      <c r="J105" s="23" t="inlineStr">
        <is>
          <t>efectivo</t>
        </is>
      </c>
    </row>
    <row r="106" hidden="1" customFormat="1" s="23">
      <c r="A106" s="38" t="n">
        <v>46073</v>
      </c>
      <c r="B106" s="23" t="inlineStr">
        <is>
          <t>Elkin Espitia Payares</t>
        </is>
      </c>
      <c r="C106" s="23" t="inlineStr">
        <is>
          <t>Bajaj EYO 06H</t>
        </is>
      </c>
      <c r="D106" s="23" t="inlineStr">
        <is>
          <t>EYO06H</t>
        </is>
      </c>
      <c r="H106" s="23" t="n">
        <v>240000</v>
      </c>
      <c r="I106" s="23" t="n">
        <v>240000</v>
      </c>
      <c r="J106" s="23" t="inlineStr">
        <is>
          <t>efectivo</t>
        </is>
      </c>
    </row>
    <row r="107" hidden="1" customFormat="1" s="23">
      <c r="A107" s="38" t="inlineStr">
        <is>
          <t>30/02/2026</t>
        </is>
      </c>
      <c r="B107" s="23" t="inlineStr">
        <is>
          <t>Elkin Espitia Payares</t>
        </is>
      </c>
      <c r="C107" s="23" t="inlineStr">
        <is>
          <t>Bajaj EYO 06H</t>
        </is>
      </c>
      <c r="D107" s="23" t="inlineStr">
        <is>
          <t>EYO06H</t>
        </is>
      </c>
      <c r="H107" s="23" t="n">
        <v>240000</v>
      </c>
      <c r="I107" s="23" t="n">
        <v>240000</v>
      </c>
      <c r="J107" s="23" t="inlineStr">
        <is>
          <t>efectivo</t>
        </is>
      </c>
    </row>
    <row r="108" hidden="1" customFormat="1" s="23">
      <c r="A108" s="38" t="n">
        <v>46096</v>
      </c>
      <c r="B108" s="23" t="inlineStr">
        <is>
          <t>Elkin Espitia Payares</t>
        </is>
      </c>
      <c r="C108" s="23" t="inlineStr">
        <is>
          <t>Bajaj EYO 06H</t>
        </is>
      </c>
      <c r="D108" s="23" t="inlineStr">
        <is>
          <t>EYO06H</t>
        </is>
      </c>
      <c r="H108" s="23" t="n">
        <v>240000</v>
      </c>
      <c r="I108" s="23" t="n">
        <v>240000</v>
      </c>
      <c r="J108" s="23" t="inlineStr">
        <is>
          <t>efectivo</t>
        </is>
      </c>
    </row>
    <row r="109" hidden="1" customFormat="1" s="23">
      <c r="A109" s="38" t="n">
        <v>46111</v>
      </c>
      <c r="B109" s="23" t="inlineStr">
        <is>
          <t>Elkin Espitia Payares</t>
        </is>
      </c>
      <c r="C109" s="23" t="inlineStr">
        <is>
          <t>Bajaj EYO 06H</t>
        </is>
      </c>
      <c r="D109" s="23" t="inlineStr">
        <is>
          <t>EYO06H</t>
        </is>
      </c>
      <c r="H109" s="23" t="n">
        <v>240000</v>
      </c>
      <c r="I109" s="23" t="n">
        <v>240000</v>
      </c>
      <c r="J109" s="23" t="inlineStr">
        <is>
          <t>efectivo</t>
        </is>
      </c>
    </row>
    <row r="110" hidden="1" customFormat="1" s="23">
      <c r="A110" s="38" t="n">
        <v>46130</v>
      </c>
      <c r="B110" s="23" t="inlineStr">
        <is>
          <t>Elkin Espitia Payares</t>
        </is>
      </c>
      <c r="C110" s="23" t="inlineStr">
        <is>
          <t>Bajaj EYO 06H</t>
        </is>
      </c>
      <c r="D110" s="23" t="inlineStr">
        <is>
          <t>EYO06H</t>
        </is>
      </c>
      <c r="H110" s="23" t="n">
        <v>240000</v>
      </c>
      <c r="I110" s="23" t="n">
        <v>240000</v>
      </c>
      <c r="J110" s="23" t="inlineStr">
        <is>
          <t>efectivo</t>
        </is>
      </c>
    </row>
    <row r="111" hidden="1" customFormat="1" s="23">
      <c r="A111" s="38" t="n">
        <v>46130</v>
      </c>
      <c r="B111" s="23" t="inlineStr">
        <is>
          <t>Elkin Espitia Payares</t>
        </is>
      </c>
      <c r="C111" s="23" t="inlineStr">
        <is>
          <t>Bajaj EYO 06H</t>
        </is>
      </c>
      <c r="D111" s="23" t="inlineStr">
        <is>
          <t>EYO06H</t>
        </is>
      </c>
      <c r="H111" s="23" t="n">
        <v>240000</v>
      </c>
      <c r="I111" s="23" t="n">
        <v>240000</v>
      </c>
      <c r="J111" s="23" t="inlineStr">
        <is>
          <t>efectivo</t>
        </is>
      </c>
    </row>
    <row r="112" hidden="1" customFormat="1" s="23">
      <c r="A112" s="38" t="n">
        <v>46158</v>
      </c>
      <c r="B112" s="23" t="inlineStr">
        <is>
          <t>Elkin Espitia Payares</t>
        </is>
      </c>
      <c r="C112" s="23" t="inlineStr">
        <is>
          <t>Bajaj EYO 06H</t>
        </is>
      </c>
      <c r="D112" s="23" t="inlineStr">
        <is>
          <t>EYO06H</t>
        </is>
      </c>
      <c r="H112" s="23" t="n">
        <v>240000</v>
      </c>
      <c r="I112" s="23" t="n">
        <v>240000</v>
      </c>
      <c r="J112" s="23" t="inlineStr">
        <is>
          <t>efectivo</t>
        </is>
      </c>
    </row>
    <row r="113" hidden="1" customFormat="1" s="23">
      <c r="A113" s="38" t="n">
        <v>46172</v>
      </c>
      <c r="B113" s="23" t="inlineStr">
        <is>
          <t>Elkin Espitia Payares</t>
        </is>
      </c>
      <c r="C113" s="23" t="inlineStr">
        <is>
          <t>Bajaj EYO 06H</t>
        </is>
      </c>
      <c r="D113" s="23" t="inlineStr">
        <is>
          <t>EYO06H</t>
        </is>
      </c>
      <c r="H113" s="23" t="n">
        <v>240000</v>
      </c>
      <c r="I113" s="23" t="n">
        <v>240000</v>
      </c>
      <c r="J113" s="23" t="inlineStr">
        <is>
          <t>efectivo</t>
        </is>
      </c>
    </row>
    <row r="114" hidden="1" customFormat="1" s="23">
      <c r="A114" s="38" t="n">
        <v>46188</v>
      </c>
      <c r="B114" s="23" t="inlineStr">
        <is>
          <t>Elkin Espitia Payares</t>
        </is>
      </c>
      <c r="C114" s="23" t="inlineStr">
        <is>
          <t>Bajaj EYO 06H</t>
        </is>
      </c>
      <c r="D114" s="23" t="inlineStr">
        <is>
          <t>EYO06H</t>
        </is>
      </c>
      <c r="H114" s="23" t="n">
        <v>240000</v>
      </c>
      <c r="I114" s="23" t="n">
        <v>240000</v>
      </c>
      <c r="J114" s="23" t="inlineStr">
        <is>
          <t>efectivo</t>
        </is>
      </c>
    </row>
    <row r="115" hidden="1" customFormat="1" s="23">
      <c r="A115" s="38" t="n">
        <v>46204</v>
      </c>
      <c r="B115" s="23" t="inlineStr">
        <is>
          <t>Elkin Espitia Payares</t>
        </is>
      </c>
      <c r="C115" s="23" t="inlineStr">
        <is>
          <t>Bajaj EYO 06H</t>
        </is>
      </c>
      <c r="D115" s="23" t="inlineStr">
        <is>
          <t>EYO06H</t>
        </is>
      </c>
      <c r="H115" s="23" t="n">
        <v>240000</v>
      </c>
      <c r="I115" s="23" t="n">
        <v>240000</v>
      </c>
      <c r="J115" s="23" t="inlineStr">
        <is>
          <t>efectivo</t>
        </is>
      </c>
    </row>
    <row r="116" hidden="1" customFormat="1" s="23">
      <c r="A116" s="38" t="n">
        <v>46224</v>
      </c>
      <c r="B116" s="23" t="inlineStr">
        <is>
          <t>Elkin Espitia Payares</t>
        </is>
      </c>
      <c r="C116" s="23" t="inlineStr">
        <is>
          <t>Bajaj EYO 06H</t>
        </is>
      </c>
      <c r="D116" s="23" t="inlineStr">
        <is>
          <t>EYO06H</t>
        </is>
      </c>
      <c r="H116" s="23" t="n">
        <v>240000</v>
      </c>
      <c r="I116" s="23" t="n">
        <v>240000</v>
      </c>
      <c r="J116" s="23" t="inlineStr">
        <is>
          <t>efectivo</t>
        </is>
      </c>
    </row>
    <row r="117" hidden="1" customFormat="1" s="23">
      <c r="A117" s="38" t="n">
        <v>45662</v>
      </c>
      <c r="B117" s="23" t="inlineStr">
        <is>
          <t>Juan Andres De Arco</t>
        </is>
      </c>
      <c r="C117" s="23" t="inlineStr">
        <is>
          <t>Bajaj KOO 16H</t>
        </is>
      </c>
      <c r="D117" s="23" t="inlineStr">
        <is>
          <t>KOO16H</t>
        </is>
      </c>
      <c r="H117" s="23" t="n">
        <v>240000</v>
      </c>
      <c r="I117" s="23" t="n">
        <v>240000</v>
      </c>
      <c r="J117" s="23" t="inlineStr">
        <is>
          <t>efectivo</t>
        </is>
      </c>
    </row>
    <row r="118" hidden="1" customFormat="1" s="23">
      <c r="A118" s="38" t="n">
        <v>45670</v>
      </c>
      <c r="B118" s="23" t="inlineStr">
        <is>
          <t>Juan Andres De Arco</t>
        </is>
      </c>
      <c r="C118" s="23" t="inlineStr">
        <is>
          <t>Bajaj KOO 16H</t>
        </is>
      </c>
      <c r="D118" s="23" t="inlineStr">
        <is>
          <t>KOO16H</t>
        </is>
      </c>
      <c r="H118" s="23" t="n">
        <v>240000</v>
      </c>
      <c r="I118" s="23" t="n">
        <v>240000</v>
      </c>
      <c r="J118" s="23" t="inlineStr">
        <is>
          <t>efectivo</t>
        </is>
      </c>
    </row>
    <row r="119" hidden="1" customFormat="1" s="23">
      <c r="A119" s="38" t="n">
        <v>45678</v>
      </c>
      <c r="B119" s="23" t="inlineStr">
        <is>
          <t>Juan Andres De Arco</t>
        </is>
      </c>
      <c r="C119" s="23" t="inlineStr">
        <is>
          <t>Bajaj KOO 16H</t>
        </is>
      </c>
      <c r="D119" s="23" t="inlineStr">
        <is>
          <t>KOO16H</t>
        </is>
      </c>
      <c r="H119" s="23" t="n">
        <v>240000</v>
      </c>
      <c r="I119" s="23" t="n">
        <v>240000</v>
      </c>
      <c r="J119" s="23" t="inlineStr">
        <is>
          <t>efectivo</t>
        </is>
      </c>
    </row>
    <row r="120" hidden="1" customFormat="1" s="23">
      <c r="A120" s="38" t="n">
        <v>45686</v>
      </c>
      <c r="B120" s="23" t="inlineStr">
        <is>
          <t>Juan Andres De Arco</t>
        </is>
      </c>
      <c r="C120" s="23" t="inlineStr">
        <is>
          <t>Bajaj KOO 16H</t>
        </is>
      </c>
      <c r="D120" s="23" t="inlineStr">
        <is>
          <t>KOO16H</t>
        </is>
      </c>
      <c r="H120" s="23" t="n">
        <v>240000</v>
      </c>
      <c r="I120" s="23" t="n">
        <v>240000</v>
      </c>
      <c r="J120" s="23" t="inlineStr">
        <is>
          <t>efectivo</t>
        </is>
      </c>
    </row>
    <row r="121" hidden="1" customFormat="1" s="23">
      <c r="A121" s="38" t="n">
        <v>45694</v>
      </c>
      <c r="B121" s="23" t="inlineStr">
        <is>
          <t>Juan Andres De Arco</t>
        </is>
      </c>
      <c r="C121" s="23" t="inlineStr">
        <is>
          <t>Bajaj KOO 16H</t>
        </is>
      </c>
      <c r="D121" s="23" t="inlineStr">
        <is>
          <t>KOO16H</t>
        </is>
      </c>
      <c r="H121" s="23" t="n">
        <v>240000</v>
      </c>
      <c r="I121" s="23" t="n">
        <v>240000</v>
      </c>
      <c r="J121" s="23" t="inlineStr">
        <is>
          <t>efectivo</t>
        </is>
      </c>
    </row>
    <row r="122" hidden="1" customFormat="1" s="23">
      <c r="A122" s="38" t="n">
        <v>45702</v>
      </c>
      <c r="B122" s="23" t="inlineStr">
        <is>
          <t>Juan Andres De Arco</t>
        </is>
      </c>
      <c r="C122" s="23" t="inlineStr">
        <is>
          <t>Bajaj KOO 16H</t>
        </is>
      </c>
      <c r="D122" s="23" t="inlineStr">
        <is>
          <t>KOO16H</t>
        </is>
      </c>
      <c r="H122" s="23" t="n">
        <v>240000</v>
      </c>
      <c r="I122" s="23" t="n">
        <v>240000</v>
      </c>
      <c r="J122" s="23" t="inlineStr">
        <is>
          <t>efectivo</t>
        </is>
      </c>
    </row>
    <row r="123" hidden="1" customFormat="1" s="23">
      <c r="A123" s="38" t="n">
        <v>45710</v>
      </c>
      <c r="B123" s="23" t="inlineStr">
        <is>
          <t>Juan Andres De Arco</t>
        </is>
      </c>
      <c r="C123" s="23" t="inlineStr">
        <is>
          <t>Bajaj KOO 16H</t>
        </is>
      </c>
      <c r="D123" s="23" t="inlineStr">
        <is>
          <t>KOO16H</t>
        </is>
      </c>
      <c r="H123" s="23" t="n">
        <v>240000</v>
      </c>
      <c r="I123" s="23" t="n">
        <v>240000</v>
      </c>
      <c r="J123" s="23" t="inlineStr">
        <is>
          <t>efectivo</t>
        </is>
      </c>
    </row>
    <row r="124" hidden="1" customFormat="1" s="23">
      <c r="A124" s="38" t="n">
        <v>45718</v>
      </c>
      <c r="B124" s="23" t="inlineStr">
        <is>
          <t>Juan Andres De Arco</t>
        </is>
      </c>
      <c r="C124" s="23" t="inlineStr">
        <is>
          <t>Bajaj KOO 16H</t>
        </is>
      </c>
      <c r="D124" s="23" t="inlineStr">
        <is>
          <t>KOO16H</t>
        </is>
      </c>
      <c r="H124" s="23" t="n">
        <v>240000</v>
      </c>
      <c r="I124" s="23" t="n">
        <v>240000</v>
      </c>
      <c r="J124" s="23" t="inlineStr">
        <is>
          <t>efectivo</t>
        </is>
      </c>
    </row>
    <row r="125" hidden="1" customFormat="1" s="23">
      <c r="A125" s="38" t="n">
        <v>45726</v>
      </c>
      <c r="B125" s="23" t="inlineStr">
        <is>
          <t>Juan Andres De Arco</t>
        </is>
      </c>
      <c r="C125" s="23" t="inlineStr">
        <is>
          <t>Bajaj KOO 16H</t>
        </is>
      </c>
      <c r="D125" s="23" t="inlineStr">
        <is>
          <t>KOO16H</t>
        </is>
      </c>
      <c r="H125" s="23" t="n">
        <v>240000</v>
      </c>
      <c r="I125" s="23" t="n">
        <v>240000</v>
      </c>
      <c r="J125" s="23" t="inlineStr">
        <is>
          <t>efectivo</t>
        </is>
      </c>
    </row>
    <row r="126" hidden="1" customFormat="1" s="23">
      <c r="A126" s="38" t="n">
        <v>45734</v>
      </c>
      <c r="B126" s="23" t="inlineStr">
        <is>
          <t>Juan Andres De Arco</t>
        </is>
      </c>
      <c r="C126" s="23" t="inlineStr">
        <is>
          <t>Bajaj KOO 16H</t>
        </is>
      </c>
      <c r="D126" s="23" t="inlineStr">
        <is>
          <t>KOO16H</t>
        </is>
      </c>
      <c r="H126" s="23" t="n">
        <v>240000</v>
      </c>
      <c r="I126" s="23" t="n">
        <v>240000</v>
      </c>
      <c r="J126" s="23" t="inlineStr">
        <is>
          <t>efectivo</t>
        </is>
      </c>
    </row>
    <row r="127" hidden="1" customFormat="1" s="23">
      <c r="A127" s="38" t="n">
        <v>45742</v>
      </c>
      <c r="B127" s="23" t="inlineStr">
        <is>
          <t>Juan Andres De Arco</t>
        </is>
      </c>
      <c r="C127" s="23" t="inlineStr">
        <is>
          <t>Bajaj KOO 16H</t>
        </is>
      </c>
      <c r="D127" s="23" t="inlineStr">
        <is>
          <t>KOO16H</t>
        </is>
      </c>
      <c r="H127" s="23" t="n">
        <v>240000</v>
      </c>
      <c r="I127" s="23" t="n">
        <v>240000</v>
      </c>
      <c r="J127" s="23" t="inlineStr">
        <is>
          <t>efectivo</t>
        </is>
      </c>
    </row>
    <row r="128" hidden="1" customFormat="1" s="23">
      <c r="A128" s="38" t="n">
        <v>45751</v>
      </c>
      <c r="B128" s="23" t="inlineStr">
        <is>
          <t>Juan Andres De Arco</t>
        </is>
      </c>
      <c r="C128" s="23" t="inlineStr">
        <is>
          <t>Bajaj KOO 16H</t>
        </is>
      </c>
      <c r="D128" s="23" t="inlineStr">
        <is>
          <t>KOO16H</t>
        </is>
      </c>
      <c r="H128" s="23" t="n">
        <v>240000</v>
      </c>
      <c r="I128" s="23" t="n">
        <v>240000</v>
      </c>
      <c r="J128" s="23" t="inlineStr">
        <is>
          <t>efectivo</t>
        </is>
      </c>
    </row>
    <row r="129" hidden="1" customFormat="1" s="23">
      <c r="A129" s="38" t="n">
        <v>45759</v>
      </c>
      <c r="B129" s="23" t="inlineStr">
        <is>
          <t>Juan Andres De Arco</t>
        </is>
      </c>
      <c r="C129" s="23" t="inlineStr">
        <is>
          <t>Bajaj KOO 16H</t>
        </is>
      </c>
      <c r="D129" s="23" t="inlineStr">
        <is>
          <t>KOO16H</t>
        </is>
      </c>
      <c r="H129" s="23" t="n">
        <v>240000</v>
      </c>
      <c r="I129" s="23" t="n">
        <v>240000</v>
      </c>
      <c r="J129" s="23" t="inlineStr">
        <is>
          <t>efectivo</t>
        </is>
      </c>
    </row>
    <row r="130" hidden="1" customFormat="1" s="23">
      <c r="A130" s="38" t="n">
        <v>45767</v>
      </c>
      <c r="B130" s="23" t="inlineStr">
        <is>
          <t>Juan Andres De Arco</t>
        </is>
      </c>
      <c r="C130" s="23" t="inlineStr">
        <is>
          <t>Bajaj KOO 16H</t>
        </is>
      </c>
      <c r="D130" s="23" t="inlineStr">
        <is>
          <t>KOO16H</t>
        </is>
      </c>
      <c r="H130" s="23" t="n">
        <v>240000</v>
      </c>
      <c r="I130" s="23" t="n">
        <v>240000</v>
      </c>
      <c r="J130" s="23" t="inlineStr">
        <is>
          <t>efectivo</t>
        </is>
      </c>
    </row>
    <row r="131" hidden="1" customFormat="1" s="23">
      <c r="A131" s="38" t="n">
        <v>45775</v>
      </c>
      <c r="B131" s="23" t="inlineStr">
        <is>
          <t>Juan Andres De Arco</t>
        </is>
      </c>
      <c r="C131" s="23" t="inlineStr">
        <is>
          <t>Bajaj KOO 16H</t>
        </is>
      </c>
      <c r="D131" s="23" t="inlineStr">
        <is>
          <t>KOO16H</t>
        </is>
      </c>
      <c r="H131" s="23" t="n">
        <v>240000</v>
      </c>
      <c r="I131" s="23" t="n">
        <v>240000</v>
      </c>
      <c r="J131" s="23" t="inlineStr">
        <is>
          <t>efectivo</t>
        </is>
      </c>
    </row>
    <row r="132" hidden="1" customFormat="1" s="23">
      <c r="A132" s="38" t="n">
        <v>45783</v>
      </c>
      <c r="B132" s="23" t="inlineStr">
        <is>
          <t>Juan Andres De Arco</t>
        </is>
      </c>
      <c r="C132" s="23" t="inlineStr">
        <is>
          <t>Bajaj KOO 16H</t>
        </is>
      </c>
      <c r="D132" s="23" t="inlineStr">
        <is>
          <t>KOO16H</t>
        </is>
      </c>
      <c r="H132" s="23" t="n">
        <v>240000</v>
      </c>
      <c r="I132" s="23" t="n">
        <v>240000</v>
      </c>
      <c r="J132" s="23" t="inlineStr">
        <is>
          <t>efectivo</t>
        </is>
      </c>
    </row>
    <row r="133" hidden="1" customFormat="1" s="23">
      <c r="A133" s="38" t="n">
        <v>45791</v>
      </c>
      <c r="B133" s="23" t="inlineStr">
        <is>
          <t>Juan Andres De Arco</t>
        </is>
      </c>
      <c r="C133" s="23" t="inlineStr">
        <is>
          <t>Bajaj KOO 16H</t>
        </is>
      </c>
      <c r="D133" s="23" t="inlineStr">
        <is>
          <t>KOO16H</t>
        </is>
      </c>
      <c r="H133" s="23" t="n">
        <v>240000</v>
      </c>
      <c r="I133" s="23" t="n">
        <v>240000</v>
      </c>
      <c r="J133" s="23" t="inlineStr">
        <is>
          <t>efectivo</t>
        </is>
      </c>
    </row>
    <row r="134" hidden="1" customFormat="1" s="23">
      <c r="A134" s="38" t="n">
        <v>45799</v>
      </c>
      <c r="B134" s="23" t="inlineStr">
        <is>
          <t>Juan Andres De Arco</t>
        </is>
      </c>
      <c r="C134" s="23" t="inlineStr">
        <is>
          <t>Bajaj KOO 16H</t>
        </is>
      </c>
      <c r="D134" s="23" t="inlineStr">
        <is>
          <t>KOO16H</t>
        </is>
      </c>
      <c r="H134" s="23" t="n">
        <v>240000</v>
      </c>
      <c r="I134" s="23" t="n">
        <v>240000</v>
      </c>
      <c r="J134" s="23" t="inlineStr">
        <is>
          <t>efectivo</t>
        </is>
      </c>
    </row>
    <row r="135" hidden="1" customFormat="1" s="23">
      <c r="A135" s="38" t="n">
        <v>45807</v>
      </c>
      <c r="B135" s="23" t="inlineStr">
        <is>
          <t>Juan Andres De Arco</t>
        </is>
      </c>
      <c r="C135" s="23" t="inlineStr">
        <is>
          <t>Bajaj KOO 16H</t>
        </is>
      </c>
      <c r="D135" s="23" t="inlineStr">
        <is>
          <t>KOO16H</t>
        </is>
      </c>
      <c r="H135" s="23" t="n">
        <v>240000</v>
      </c>
      <c r="I135" s="23" t="n">
        <v>240000</v>
      </c>
      <c r="J135" s="23" t="inlineStr">
        <is>
          <t>efectivo</t>
        </is>
      </c>
    </row>
    <row r="136" hidden="1" customFormat="1" s="23">
      <c r="A136" s="38" t="n">
        <v>45818</v>
      </c>
      <c r="B136" s="23" t="inlineStr">
        <is>
          <t>Juan Andres De Arco</t>
        </is>
      </c>
      <c r="C136" s="23" t="inlineStr">
        <is>
          <t>Bajaj KOO 16H</t>
        </is>
      </c>
      <c r="D136" s="23" t="inlineStr">
        <is>
          <t>KOO16H</t>
        </is>
      </c>
      <c r="H136" s="23" t="n">
        <v>240000</v>
      </c>
      <c r="I136" s="23" t="n">
        <v>240000</v>
      </c>
      <c r="J136" s="23" t="inlineStr">
        <is>
          <t>efectivo</t>
        </is>
      </c>
    </row>
    <row r="137" hidden="1" customFormat="1" s="23">
      <c r="A137" s="38" t="n">
        <v>45824</v>
      </c>
      <c r="B137" s="23" t="inlineStr">
        <is>
          <t>Juan Andres De Arco</t>
        </is>
      </c>
      <c r="C137" s="23" t="inlineStr">
        <is>
          <t>Bajaj KOO 16H</t>
        </is>
      </c>
      <c r="D137" s="23" t="inlineStr">
        <is>
          <t>KOO16H</t>
        </is>
      </c>
      <c r="H137" s="23" t="n">
        <v>240000</v>
      </c>
      <c r="I137" s="23" t="n">
        <v>240000</v>
      </c>
      <c r="J137" s="23" t="inlineStr">
        <is>
          <t>efectivo</t>
        </is>
      </c>
    </row>
    <row r="138" hidden="1" customFormat="1" s="23">
      <c r="A138" s="38" t="n">
        <v>45833</v>
      </c>
      <c r="B138" s="23" t="inlineStr">
        <is>
          <t>Juan Andres De Arco</t>
        </is>
      </c>
      <c r="C138" s="23" t="inlineStr">
        <is>
          <t>Bajaj KOO 16H</t>
        </is>
      </c>
      <c r="D138" s="23" t="inlineStr">
        <is>
          <t>KOO16H</t>
        </is>
      </c>
      <c r="H138" s="23" t="n">
        <v>240000</v>
      </c>
      <c r="I138" s="23" t="n">
        <v>240000</v>
      </c>
      <c r="J138" s="23" t="inlineStr">
        <is>
          <t>efectivo</t>
        </is>
      </c>
    </row>
    <row r="139" hidden="1" customFormat="1" s="23">
      <c r="A139" s="38" t="n">
        <v>45841</v>
      </c>
      <c r="B139" s="23" t="inlineStr">
        <is>
          <t>Juan Andres De Arco</t>
        </is>
      </c>
      <c r="C139" s="23" t="inlineStr">
        <is>
          <t>Bajaj KOO 16H</t>
        </is>
      </c>
      <c r="D139" s="23" t="inlineStr">
        <is>
          <t>KOO16H</t>
        </is>
      </c>
      <c r="H139" s="23" t="n">
        <v>240000</v>
      </c>
      <c r="I139" s="23" t="n">
        <v>240000</v>
      </c>
      <c r="J139" s="23" t="inlineStr">
        <is>
          <t>efectivo</t>
        </is>
      </c>
    </row>
    <row r="140" hidden="1" customFormat="1" s="23">
      <c r="A140" s="38" t="n">
        <v>45848</v>
      </c>
      <c r="B140" s="23" t="inlineStr">
        <is>
          <t>Juan Andres De Arco</t>
        </is>
      </c>
      <c r="C140" s="23" t="inlineStr">
        <is>
          <t>Bajaj KOO 16H</t>
        </is>
      </c>
      <c r="D140" s="23" t="inlineStr">
        <is>
          <t>KOO16H</t>
        </is>
      </c>
      <c r="H140" s="23" t="n">
        <v>240000</v>
      </c>
      <c r="I140" s="23" t="n">
        <v>240000</v>
      </c>
      <c r="J140" s="23" t="inlineStr">
        <is>
          <t>efectivo</t>
        </is>
      </c>
    </row>
    <row r="141" hidden="1" customFormat="1" s="23">
      <c r="A141" s="38" t="n">
        <v>45856</v>
      </c>
      <c r="B141" s="23" t="inlineStr">
        <is>
          <t>Juan Andres De Arco</t>
        </is>
      </c>
      <c r="C141" s="23" t="inlineStr">
        <is>
          <t>Bajaj KOO 16H</t>
        </is>
      </c>
      <c r="D141" s="23" t="inlineStr">
        <is>
          <t>KOO16H</t>
        </is>
      </c>
      <c r="H141" s="23" t="n">
        <v>240000</v>
      </c>
      <c r="I141" s="23" t="n">
        <v>240000</v>
      </c>
      <c r="J141" s="23" t="inlineStr">
        <is>
          <t>efectivo</t>
        </is>
      </c>
    </row>
    <row r="142" hidden="1" customFormat="1" s="23">
      <c r="A142" s="38" t="n">
        <v>45864</v>
      </c>
      <c r="B142" s="23" t="inlineStr">
        <is>
          <t>Juan Andres De Arco</t>
        </is>
      </c>
      <c r="C142" s="23" t="inlineStr">
        <is>
          <t>Bajaj KOO 16H</t>
        </is>
      </c>
      <c r="D142" s="23" t="inlineStr">
        <is>
          <t>KOO16H</t>
        </is>
      </c>
      <c r="H142" s="23" t="n">
        <v>240000</v>
      </c>
      <c r="I142" s="23" t="n">
        <v>240000</v>
      </c>
      <c r="J142" s="23" t="inlineStr">
        <is>
          <t>efectivo</t>
        </is>
      </c>
    </row>
    <row r="143" hidden="1" customFormat="1" s="23">
      <c r="A143" s="38" t="n">
        <v>45872</v>
      </c>
      <c r="B143" s="23" t="inlineStr">
        <is>
          <t>Juan Andres De Arco</t>
        </is>
      </c>
      <c r="C143" s="23" t="inlineStr">
        <is>
          <t>Bajaj KOO 16H</t>
        </is>
      </c>
      <c r="D143" s="23" t="inlineStr">
        <is>
          <t>KOO16H</t>
        </is>
      </c>
      <c r="H143" s="23" t="n">
        <v>240000</v>
      </c>
      <c r="I143" s="23" t="n">
        <v>240000</v>
      </c>
      <c r="J143" s="23" t="inlineStr">
        <is>
          <t>efectivo</t>
        </is>
      </c>
    </row>
    <row r="144" hidden="1" customFormat="1" s="23">
      <c r="A144" s="38" t="n">
        <v>45880</v>
      </c>
      <c r="B144" s="23" t="inlineStr">
        <is>
          <t>Juan Andres De Arco</t>
        </is>
      </c>
      <c r="C144" s="23" t="inlineStr">
        <is>
          <t>Bajaj KOO 16H</t>
        </is>
      </c>
      <c r="D144" s="23" t="inlineStr">
        <is>
          <t>KOO16H</t>
        </is>
      </c>
      <c r="H144" s="23" t="n">
        <v>240000</v>
      </c>
      <c r="I144" s="23" t="n">
        <v>240000</v>
      </c>
      <c r="J144" s="23" t="inlineStr">
        <is>
          <t>efectivo</t>
        </is>
      </c>
    </row>
    <row r="145" hidden="1" customFormat="1" s="23">
      <c r="A145" s="38" t="n">
        <v>45889</v>
      </c>
      <c r="B145" s="23" t="inlineStr">
        <is>
          <t>Juan Andres De Arco</t>
        </is>
      </c>
      <c r="C145" s="23" t="inlineStr">
        <is>
          <t>Bajaj KOO 16H</t>
        </is>
      </c>
      <c r="D145" s="23" t="inlineStr">
        <is>
          <t>KOO16H</t>
        </is>
      </c>
      <c r="H145" s="23" t="n">
        <v>240000</v>
      </c>
      <c r="I145" s="23" t="n">
        <v>240000</v>
      </c>
      <c r="J145" s="23" t="inlineStr">
        <is>
          <t>efectivo</t>
        </is>
      </c>
    </row>
    <row r="146" hidden="1" customFormat="1" s="23">
      <c r="A146" s="38" t="n">
        <v>45897</v>
      </c>
      <c r="B146" s="23" t="inlineStr">
        <is>
          <t>Juan Andres De Arco</t>
        </is>
      </c>
      <c r="C146" s="23" t="inlineStr">
        <is>
          <t>Bajaj KOO 16H</t>
        </is>
      </c>
      <c r="D146" s="23" t="inlineStr">
        <is>
          <t>KOO16H</t>
        </is>
      </c>
      <c r="H146" s="23" t="n">
        <v>240000</v>
      </c>
      <c r="I146" s="23" t="n">
        <v>240000</v>
      </c>
      <c r="J146" s="23" t="inlineStr">
        <is>
          <t>efectivo</t>
        </is>
      </c>
    </row>
    <row r="147" hidden="1" customFormat="1" s="23">
      <c r="A147" s="38" t="n">
        <v>45908</v>
      </c>
      <c r="B147" s="23" t="inlineStr">
        <is>
          <t>Juan Andres De Arco</t>
        </is>
      </c>
      <c r="C147" s="23" t="inlineStr">
        <is>
          <t>Bajaj KOO 16H</t>
        </is>
      </c>
      <c r="D147" s="23" t="inlineStr">
        <is>
          <t>KOO16H</t>
        </is>
      </c>
      <c r="H147" s="23" t="n">
        <v>240000</v>
      </c>
      <c r="I147" s="23" t="n">
        <v>240000</v>
      </c>
      <c r="J147" s="23" t="inlineStr">
        <is>
          <t>efectivo</t>
        </is>
      </c>
    </row>
    <row r="148" hidden="1" customFormat="1" s="23">
      <c r="A148" s="38" t="n">
        <v>45917</v>
      </c>
      <c r="B148" s="23" t="inlineStr">
        <is>
          <t>Juan Andres De Arco</t>
        </is>
      </c>
      <c r="C148" s="23" t="inlineStr">
        <is>
          <t>Bajaj KOO 16H</t>
        </is>
      </c>
      <c r="D148" s="23" t="inlineStr">
        <is>
          <t>KOO16H</t>
        </is>
      </c>
      <c r="H148" s="23" t="n">
        <v>240000</v>
      </c>
      <c r="I148" s="23" t="n">
        <v>240000</v>
      </c>
      <c r="J148" s="23" t="inlineStr">
        <is>
          <t>efectivo</t>
        </is>
      </c>
    </row>
    <row r="149" hidden="1" customFormat="1" s="23">
      <c r="A149" s="38" t="n">
        <v>45927</v>
      </c>
      <c r="B149" s="23" t="inlineStr">
        <is>
          <t>Juan Andres De Arco</t>
        </is>
      </c>
      <c r="C149" s="23" t="inlineStr">
        <is>
          <t>Bajaj KOO 16H</t>
        </is>
      </c>
      <c r="D149" s="23" t="inlineStr">
        <is>
          <t>KOO16H</t>
        </is>
      </c>
      <c r="H149" s="23" t="n">
        <v>240000</v>
      </c>
      <c r="I149" s="23" t="n">
        <v>240000</v>
      </c>
      <c r="J149" s="23" t="inlineStr">
        <is>
          <t>efectivo</t>
        </is>
      </c>
    </row>
    <row r="150" hidden="1" customFormat="1" s="23">
      <c r="A150" s="38" t="n">
        <v>45936</v>
      </c>
      <c r="B150" s="23" t="inlineStr">
        <is>
          <t>Juan Andres De Arco</t>
        </is>
      </c>
      <c r="C150" s="23" t="inlineStr">
        <is>
          <t>Bajaj KOO 16H</t>
        </is>
      </c>
      <c r="D150" s="23" t="inlineStr">
        <is>
          <t>KOO16H</t>
        </is>
      </c>
      <c r="H150" s="23" t="n">
        <v>240000</v>
      </c>
      <c r="I150" s="23" t="n">
        <v>240000</v>
      </c>
      <c r="J150" s="23" t="inlineStr">
        <is>
          <t>efectivo</t>
        </is>
      </c>
    </row>
    <row r="151" hidden="1" customFormat="1" s="23">
      <c r="A151" s="38" t="n">
        <v>45945</v>
      </c>
      <c r="B151" s="23" t="inlineStr">
        <is>
          <t>Juan Andres De Arco</t>
        </is>
      </c>
      <c r="C151" s="23" t="inlineStr">
        <is>
          <t>Bajaj KOO 16H</t>
        </is>
      </c>
      <c r="D151" s="23" t="inlineStr">
        <is>
          <t>KOO16H</t>
        </is>
      </c>
      <c r="H151" s="23" t="n">
        <v>240000</v>
      </c>
      <c r="I151" s="23" t="n">
        <v>240000</v>
      </c>
      <c r="J151" s="23" t="inlineStr">
        <is>
          <t>efectivo</t>
        </is>
      </c>
    </row>
    <row r="152" hidden="1" customFormat="1" s="23">
      <c r="A152" s="38" t="n">
        <v>45953</v>
      </c>
      <c r="B152" s="23" t="inlineStr">
        <is>
          <t>Juan Andres De Arco</t>
        </is>
      </c>
      <c r="C152" s="23" t="inlineStr">
        <is>
          <t>Bajaj KOO 16H</t>
        </is>
      </c>
      <c r="D152" s="23" t="inlineStr">
        <is>
          <t>KOO16H</t>
        </is>
      </c>
      <c r="H152" s="23" t="n">
        <v>240000</v>
      </c>
      <c r="I152" s="23" t="n">
        <v>240000</v>
      </c>
      <c r="J152" s="23" t="inlineStr">
        <is>
          <t>efectivo</t>
        </is>
      </c>
    </row>
    <row r="153" hidden="1" customFormat="1" s="23">
      <c r="A153" s="38" t="n">
        <v>45966</v>
      </c>
      <c r="B153" s="23" t="inlineStr">
        <is>
          <t>Juan Andres De Arco</t>
        </is>
      </c>
      <c r="C153" s="23" t="inlineStr">
        <is>
          <t>Bajaj KOO 16H</t>
        </is>
      </c>
      <c r="D153" s="23" t="inlineStr">
        <is>
          <t>KOO16H</t>
        </is>
      </c>
      <c r="H153" s="23" t="n">
        <v>240000</v>
      </c>
      <c r="I153" s="23" t="n">
        <v>240000</v>
      </c>
      <c r="J153" s="23" t="inlineStr">
        <is>
          <t>efectivo</t>
        </is>
      </c>
    </row>
    <row r="154" hidden="1" customFormat="1" s="23">
      <c r="A154" s="38" t="n">
        <v>45975</v>
      </c>
      <c r="B154" s="23" t="inlineStr">
        <is>
          <t>Juan Andres De Arco</t>
        </is>
      </c>
      <c r="C154" s="23" t="inlineStr">
        <is>
          <t>Bajaj KOO 16H</t>
        </is>
      </c>
      <c r="D154" s="23" t="inlineStr">
        <is>
          <t>KOO16H</t>
        </is>
      </c>
      <c r="H154" s="23" t="n">
        <v>240000</v>
      </c>
      <c r="I154" s="23" t="n">
        <v>240000</v>
      </c>
      <c r="J154" s="23" t="inlineStr">
        <is>
          <t>efectivo</t>
        </is>
      </c>
    </row>
    <row r="155" hidden="1" customFormat="1" s="23">
      <c r="A155" s="38" t="n">
        <v>45985</v>
      </c>
      <c r="B155" s="23" t="inlineStr">
        <is>
          <t>Juan Andres De Arco</t>
        </is>
      </c>
      <c r="C155" s="23" t="inlineStr">
        <is>
          <t>Bajaj KOO 16H</t>
        </is>
      </c>
      <c r="D155" s="23" t="inlineStr">
        <is>
          <t>KOO16H</t>
        </is>
      </c>
      <c r="H155" s="23" t="n">
        <v>240000</v>
      </c>
      <c r="I155" s="23" t="n">
        <v>240000</v>
      </c>
      <c r="J155" s="23" t="inlineStr">
        <is>
          <t>efectivo</t>
        </is>
      </c>
    </row>
    <row r="156" hidden="1" customFormat="1" s="23">
      <c r="A156" s="38" t="n">
        <v>45993</v>
      </c>
      <c r="B156" s="23" t="inlineStr">
        <is>
          <t>Juan Andres De Arco</t>
        </is>
      </c>
      <c r="C156" s="23" t="inlineStr">
        <is>
          <t>Bajaj KOO 16H</t>
        </is>
      </c>
      <c r="D156" s="23" t="inlineStr">
        <is>
          <t>KOO16H</t>
        </is>
      </c>
      <c r="H156" s="23" t="n">
        <v>240000</v>
      </c>
      <c r="I156" s="23" t="n">
        <v>240000</v>
      </c>
      <c r="J156" s="23" t="inlineStr">
        <is>
          <t>efectivo</t>
        </is>
      </c>
    </row>
    <row r="157" hidden="1" customFormat="1" s="23">
      <c r="A157" s="38" t="n">
        <v>46004</v>
      </c>
      <c r="B157" s="23" t="inlineStr">
        <is>
          <t>Juan Andres De Arco</t>
        </is>
      </c>
      <c r="C157" s="23" t="inlineStr">
        <is>
          <t>Bajaj KOO 16H</t>
        </is>
      </c>
      <c r="D157" s="23" t="inlineStr">
        <is>
          <t>KOO16H</t>
        </is>
      </c>
      <c r="H157" s="23" t="n">
        <v>240000</v>
      </c>
      <c r="I157" s="23" t="n">
        <v>240000</v>
      </c>
      <c r="J157" s="23" t="inlineStr">
        <is>
          <t>efectivo</t>
        </is>
      </c>
    </row>
    <row r="158" hidden="1" customFormat="1" s="23">
      <c r="A158" s="38" t="n">
        <v>46010</v>
      </c>
      <c r="B158" s="23" t="inlineStr">
        <is>
          <t>Juan Andres De Arco</t>
        </is>
      </c>
      <c r="C158" s="23" t="inlineStr">
        <is>
          <t>Bajaj KOO 16H</t>
        </is>
      </c>
      <c r="D158" s="23" t="inlineStr">
        <is>
          <t>KOO16H</t>
        </is>
      </c>
      <c r="H158" s="23" t="n">
        <v>240000</v>
      </c>
      <c r="I158" s="23" t="n">
        <v>240000</v>
      </c>
      <c r="J158" s="23" t="inlineStr">
        <is>
          <t>efectivo</t>
        </is>
      </c>
    </row>
    <row r="159" hidden="1" customFormat="1" s="23">
      <c r="A159" s="38" t="n">
        <v>46020</v>
      </c>
      <c r="B159" s="23" t="inlineStr">
        <is>
          <t>Juan Andres De Arco</t>
        </is>
      </c>
      <c r="C159" s="23" t="inlineStr">
        <is>
          <t>Bajaj KOO 16H</t>
        </is>
      </c>
      <c r="D159" s="23" t="inlineStr">
        <is>
          <t>KOO16H</t>
        </is>
      </c>
      <c r="H159" s="23" t="n">
        <v>240000</v>
      </c>
      <c r="I159" s="23" t="n">
        <v>240000</v>
      </c>
      <c r="J159" s="23" t="inlineStr">
        <is>
          <t>efectivo</t>
        </is>
      </c>
    </row>
    <row r="160" hidden="1" customFormat="1" s="23">
      <c r="A160" s="38" t="n">
        <v>46035</v>
      </c>
      <c r="B160" s="23" t="inlineStr">
        <is>
          <t>Juan Andres De Arco</t>
        </is>
      </c>
      <c r="C160" s="23" t="inlineStr">
        <is>
          <t>Bajaj KOO 16H</t>
        </is>
      </c>
      <c r="D160" s="23" t="inlineStr">
        <is>
          <t>KOO16H</t>
        </is>
      </c>
      <c r="H160" s="23" t="n">
        <v>240000</v>
      </c>
      <c r="I160" s="23" t="n">
        <v>240000</v>
      </c>
      <c r="J160" s="23" t="inlineStr">
        <is>
          <t>efectivo</t>
        </is>
      </c>
    </row>
    <row r="161" hidden="1" customFormat="1" s="23">
      <c r="A161" s="38" t="n">
        <v>46042</v>
      </c>
      <c r="B161" s="23" t="inlineStr">
        <is>
          <t>Juan Andres De Arco</t>
        </is>
      </c>
      <c r="C161" s="23" t="inlineStr">
        <is>
          <t>Bajaj KOO 16H</t>
        </is>
      </c>
      <c r="D161" s="23" t="inlineStr">
        <is>
          <t>KOO16H</t>
        </is>
      </c>
      <c r="H161" s="23" t="n">
        <v>240000</v>
      </c>
      <c r="I161" s="23" t="n">
        <v>240000</v>
      </c>
      <c r="J161" s="23" t="inlineStr">
        <is>
          <t>efectivo</t>
        </is>
      </c>
    </row>
    <row r="162" hidden="1" customFormat="1" s="23">
      <c r="A162" s="38" t="n">
        <v>46055</v>
      </c>
      <c r="B162" s="23" t="inlineStr">
        <is>
          <t>Juan Andres De Arco</t>
        </is>
      </c>
      <c r="C162" s="23" t="inlineStr">
        <is>
          <t>Bajaj KOO 16H</t>
        </is>
      </c>
      <c r="D162" s="23" t="inlineStr">
        <is>
          <t>KOO16H</t>
        </is>
      </c>
      <c r="H162" s="23" t="n">
        <v>240000</v>
      </c>
      <c r="I162" s="23" t="n">
        <v>240000</v>
      </c>
      <c r="J162" s="23" t="inlineStr">
        <is>
          <t>efectivo</t>
        </is>
      </c>
    </row>
    <row r="163" hidden="1" customFormat="1" s="23">
      <c r="A163" s="38" t="n">
        <v>46062</v>
      </c>
      <c r="B163" s="23" t="inlineStr">
        <is>
          <t>Juan Andres De Arco</t>
        </is>
      </c>
      <c r="C163" s="23" t="inlineStr">
        <is>
          <t>Bajaj KOO 16H</t>
        </is>
      </c>
      <c r="D163" s="23" t="inlineStr">
        <is>
          <t>KOO16H</t>
        </is>
      </c>
      <c r="H163" s="23" t="n">
        <v>240000</v>
      </c>
      <c r="I163" s="23" t="n">
        <v>240000</v>
      </c>
      <c r="J163" s="23" t="inlineStr">
        <is>
          <t>efectivo</t>
        </is>
      </c>
    </row>
    <row r="164" hidden="1" customFormat="1" s="23">
      <c r="A164" s="38" t="n">
        <v>46069</v>
      </c>
      <c r="B164" s="23" t="inlineStr">
        <is>
          <t>Juan Andres De Arco</t>
        </is>
      </c>
      <c r="C164" s="23" t="inlineStr">
        <is>
          <t>Bajaj KOO 16H</t>
        </is>
      </c>
      <c r="D164" s="23" t="inlineStr">
        <is>
          <t>KOO16H</t>
        </is>
      </c>
      <c r="H164" s="23" t="n">
        <v>240000</v>
      </c>
      <c r="I164" s="23" t="n">
        <v>240000</v>
      </c>
      <c r="J164" s="23" t="inlineStr">
        <is>
          <t>efectivo</t>
        </is>
      </c>
    </row>
    <row r="165" hidden="1" customFormat="1" s="23">
      <c r="A165" s="38" t="n">
        <v>46078</v>
      </c>
      <c r="B165" s="23" t="inlineStr">
        <is>
          <t>Juan Andres De Arco</t>
        </is>
      </c>
      <c r="C165" s="23" t="inlineStr">
        <is>
          <t>Bajaj KOO 16H</t>
        </is>
      </c>
      <c r="D165" s="23" t="inlineStr">
        <is>
          <t>KOO16H</t>
        </is>
      </c>
      <c r="H165" s="23" t="n">
        <v>240000</v>
      </c>
      <c r="I165" s="23" t="n">
        <v>240000</v>
      </c>
      <c r="J165" s="23" t="inlineStr">
        <is>
          <t>efectivo</t>
        </is>
      </c>
    </row>
    <row r="166" hidden="1" customFormat="1" s="23">
      <c r="A166" s="38" t="n">
        <v>46084</v>
      </c>
      <c r="B166" s="23" t="inlineStr">
        <is>
          <t>Juan Andres De Arco</t>
        </is>
      </c>
      <c r="C166" s="23" t="inlineStr">
        <is>
          <t>Bajaj KOO 16H</t>
        </is>
      </c>
      <c r="D166" s="23" t="inlineStr">
        <is>
          <t>KOO16H</t>
        </is>
      </c>
      <c r="H166" s="23" t="n">
        <v>240000</v>
      </c>
      <c r="I166" s="23" t="n">
        <v>240000</v>
      </c>
      <c r="J166" s="23" t="inlineStr">
        <is>
          <t>efectivo</t>
        </is>
      </c>
    </row>
    <row r="167" hidden="1" customFormat="1" s="23">
      <c r="A167" s="38" t="n">
        <v>46091</v>
      </c>
      <c r="B167" s="23" t="inlineStr">
        <is>
          <t>Juan Andres De Arco</t>
        </is>
      </c>
      <c r="C167" s="23" t="inlineStr">
        <is>
          <t>Bajaj KOO 16H</t>
        </is>
      </c>
      <c r="D167" s="23" t="inlineStr">
        <is>
          <t>KOO16H</t>
        </is>
      </c>
      <c r="H167" s="23" t="n">
        <v>240000</v>
      </c>
      <c r="I167" s="23" t="n">
        <v>240000</v>
      </c>
      <c r="J167" s="23" t="inlineStr">
        <is>
          <t>efectivo</t>
        </is>
      </c>
    </row>
    <row r="168" hidden="1" customFormat="1" s="23">
      <c r="A168" s="38" t="n">
        <v>46098</v>
      </c>
      <c r="B168" s="23" t="inlineStr">
        <is>
          <t>Juan Andres De Arco</t>
        </is>
      </c>
      <c r="C168" s="23" t="inlineStr">
        <is>
          <t>Bajaj KOO 16H</t>
        </is>
      </c>
      <c r="D168" s="23" t="inlineStr">
        <is>
          <t>KOO16H</t>
        </is>
      </c>
      <c r="H168" s="23" t="n">
        <v>240000</v>
      </c>
      <c r="I168" s="23" t="n">
        <v>240000</v>
      </c>
      <c r="J168" s="23" t="inlineStr">
        <is>
          <t>efectivo</t>
        </is>
      </c>
    </row>
    <row r="169" hidden="1" customFormat="1" s="23">
      <c r="A169" s="38" t="n">
        <v>46110</v>
      </c>
      <c r="B169" s="23" t="inlineStr">
        <is>
          <t>Juan Andres De Arco</t>
        </is>
      </c>
      <c r="C169" s="23" t="inlineStr">
        <is>
          <t>Bajaj KOO 16H</t>
        </is>
      </c>
      <c r="D169" s="23" t="inlineStr">
        <is>
          <t>KOO16H</t>
        </is>
      </c>
      <c r="H169" s="23" t="n">
        <v>240000</v>
      </c>
      <c r="I169" s="23" t="n">
        <v>240000</v>
      </c>
      <c r="J169" s="23" t="inlineStr">
        <is>
          <t>efectivo</t>
        </is>
      </c>
    </row>
    <row r="170" hidden="1" customFormat="1" s="23">
      <c r="A170" s="38" t="n">
        <v>46117</v>
      </c>
      <c r="B170" s="23" t="inlineStr">
        <is>
          <t>Juan Andres De Arco</t>
        </is>
      </c>
      <c r="C170" s="23" t="inlineStr">
        <is>
          <t>Bajaj KOO 16H</t>
        </is>
      </c>
      <c r="D170" s="23" t="inlineStr">
        <is>
          <t>KOO16H</t>
        </is>
      </c>
      <c r="H170" s="23" t="n">
        <v>240000</v>
      </c>
      <c r="I170" s="23" t="n">
        <v>240000</v>
      </c>
      <c r="J170" s="23" t="inlineStr">
        <is>
          <t>efectivo</t>
        </is>
      </c>
    </row>
    <row r="171" hidden="1" customFormat="1" s="23">
      <c r="A171" s="38" t="n">
        <v>46123</v>
      </c>
      <c r="B171" s="23" t="inlineStr">
        <is>
          <t>Juan Andres De Arco</t>
        </is>
      </c>
      <c r="C171" s="23" t="inlineStr">
        <is>
          <t>Bajaj KOO 16H</t>
        </is>
      </c>
      <c r="D171" s="23" t="inlineStr">
        <is>
          <t>KOO16H</t>
        </is>
      </c>
      <c r="H171" s="23" t="n">
        <v>240000</v>
      </c>
      <c r="I171" s="23" t="n">
        <v>240000</v>
      </c>
      <c r="J171" s="23" t="inlineStr">
        <is>
          <t>efectivo</t>
        </is>
      </c>
    </row>
    <row r="172" hidden="1" customFormat="1" s="23">
      <c r="A172" s="38" t="n">
        <v>46132</v>
      </c>
      <c r="B172" s="23" t="inlineStr">
        <is>
          <t>Juan Andres De Arco</t>
        </is>
      </c>
      <c r="C172" s="23" t="inlineStr">
        <is>
          <t>Bajaj KOO 16H</t>
        </is>
      </c>
      <c r="D172" s="23" t="inlineStr">
        <is>
          <t>KOO16H</t>
        </is>
      </c>
      <c r="H172" s="23" t="n">
        <v>240000</v>
      </c>
      <c r="I172" s="23" t="n">
        <v>240000</v>
      </c>
      <c r="J172" s="23" t="inlineStr">
        <is>
          <t>efectivo</t>
        </is>
      </c>
    </row>
    <row r="173" hidden="1" customFormat="1" s="23">
      <c r="A173" s="38" t="n">
        <v>46141</v>
      </c>
      <c r="B173" s="23" t="inlineStr">
        <is>
          <t>Juan Andres De Arco</t>
        </is>
      </c>
      <c r="C173" s="23" t="inlineStr">
        <is>
          <t>Bajaj KOO 16H</t>
        </is>
      </c>
      <c r="D173" s="23" t="inlineStr">
        <is>
          <t>KOO16H</t>
        </is>
      </c>
      <c r="H173" s="23" t="n">
        <v>240000</v>
      </c>
      <c r="I173" s="23" t="n">
        <v>240000</v>
      </c>
      <c r="J173" s="23" t="inlineStr">
        <is>
          <t>efectivo</t>
        </is>
      </c>
    </row>
    <row r="174" hidden="1" customFormat="1" s="23">
      <c r="A174" s="38" t="n">
        <v>46154</v>
      </c>
      <c r="B174" s="23" t="inlineStr">
        <is>
          <t>Juan Andres De Arco</t>
        </is>
      </c>
      <c r="C174" s="23" t="inlineStr">
        <is>
          <t>Bajaj KOO 16H</t>
        </is>
      </c>
      <c r="D174" s="23" t="inlineStr">
        <is>
          <t>KOO16H</t>
        </is>
      </c>
      <c r="H174" s="23" t="n">
        <v>240000</v>
      </c>
      <c r="I174" s="23" t="n">
        <v>240000</v>
      </c>
      <c r="J174" s="23" t="inlineStr">
        <is>
          <t>efectivo</t>
        </is>
      </c>
    </row>
    <row r="175" hidden="1" customFormat="1" s="23">
      <c r="A175" s="38" t="n">
        <v>46175</v>
      </c>
      <c r="B175" s="23" t="inlineStr">
        <is>
          <t>Juan Andres De Arco</t>
        </is>
      </c>
      <c r="C175" s="23" t="inlineStr">
        <is>
          <t>Bajaj KOO 16H</t>
        </is>
      </c>
      <c r="D175" s="23" t="inlineStr">
        <is>
          <t>KOO16H</t>
        </is>
      </c>
      <c r="H175" s="23" t="n">
        <v>240000</v>
      </c>
      <c r="I175" s="23" t="n">
        <v>240000</v>
      </c>
      <c r="J175" s="23" t="inlineStr">
        <is>
          <t>efectivo</t>
        </is>
      </c>
    </row>
    <row r="176" hidden="1" customFormat="1" s="23">
      <c r="A176" s="38" t="n">
        <v>46182</v>
      </c>
      <c r="B176" s="23" t="inlineStr">
        <is>
          <t>Juan Andres De Arco</t>
        </is>
      </c>
      <c r="C176" s="23" t="inlineStr">
        <is>
          <t>Bajaj KOO 16H</t>
        </is>
      </c>
      <c r="D176" s="23" t="inlineStr">
        <is>
          <t>KOO16H</t>
        </is>
      </c>
      <c r="H176" s="23" t="n">
        <v>240000</v>
      </c>
      <c r="I176" s="23" t="n">
        <v>240000</v>
      </c>
      <c r="J176" s="23" t="inlineStr">
        <is>
          <t>efectivo</t>
        </is>
      </c>
    </row>
    <row r="177" hidden="1" customFormat="1" s="23">
      <c r="A177" s="38" t="n">
        <v>46195</v>
      </c>
      <c r="B177" s="23" t="inlineStr">
        <is>
          <t>Juan Andres De Arco</t>
        </is>
      </c>
      <c r="C177" s="23" t="inlineStr">
        <is>
          <t>Bajaj KOO 16H</t>
        </is>
      </c>
      <c r="D177" s="23" t="inlineStr">
        <is>
          <t>KOO16H</t>
        </is>
      </c>
      <c r="H177" s="23" t="n">
        <v>240000</v>
      </c>
      <c r="I177" s="23" t="n">
        <v>240000</v>
      </c>
      <c r="J177" s="23" t="inlineStr">
        <is>
          <t>efectivo</t>
        </is>
      </c>
    </row>
    <row r="178" hidden="1" customFormat="1" s="23">
      <c r="A178" s="38" t="n">
        <v>46211</v>
      </c>
      <c r="B178" s="23" t="inlineStr">
        <is>
          <t>Juan Andres De Arco</t>
        </is>
      </c>
      <c r="C178" s="23" t="inlineStr">
        <is>
          <t>Bajaj KOO 16H</t>
        </is>
      </c>
      <c r="D178" s="23" t="inlineStr">
        <is>
          <t>KOO16H</t>
        </is>
      </c>
      <c r="H178" s="23" t="n">
        <v>240000</v>
      </c>
      <c r="I178" s="23" t="n">
        <v>240000</v>
      </c>
      <c r="J178" s="23" t="inlineStr">
        <is>
          <t>efectivo</t>
        </is>
      </c>
    </row>
    <row r="179" hidden="1" customFormat="1" s="23">
      <c r="A179" s="38" t="n">
        <v>46225</v>
      </c>
      <c r="B179" s="23" t="inlineStr">
        <is>
          <t>Juan Andres De Arco</t>
        </is>
      </c>
      <c r="C179" s="23" t="inlineStr">
        <is>
          <t>Bajaj KOO 16H</t>
        </is>
      </c>
      <c r="D179" s="23" t="inlineStr">
        <is>
          <t>KOO16H</t>
        </is>
      </c>
      <c r="H179" s="23" t="n">
        <v>240000</v>
      </c>
      <c r="I179" s="23" t="n">
        <v>240000</v>
      </c>
      <c r="J179" s="23" t="inlineStr">
        <is>
          <t>efectivo</t>
        </is>
      </c>
    </row>
    <row r="180" hidden="1" customFormat="1" s="23">
      <c r="A180" s="38" t="n">
        <v>45667</v>
      </c>
      <c r="B180" s="23" t="inlineStr">
        <is>
          <t>Jorge Luis Reyes</t>
        </is>
      </c>
      <c r="C180" s="23" t="inlineStr">
        <is>
          <t>Bajaj KOO B1H</t>
        </is>
      </c>
      <c r="D180" s="23" t="inlineStr">
        <is>
          <t>KOOB1H</t>
        </is>
      </c>
      <c r="H180" s="23" t="n">
        <v>240000</v>
      </c>
      <c r="I180" s="23" t="n">
        <v>240000</v>
      </c>
      <c r="J180" s="23" t="inlineStr">
        <is>
          <t>efectivo</t>
        </is>
      </c>
    </row>
    <row r="181" hidden="1" customFormat="1" s="23">
      <c r="A181" s="38" t="n">
        <v>45675</v>
      </c>
      <c r="B181" s="23" t="inlineStr">
        <is>
          <t>Jorge Luis Reyes</t>
        </is>
      </c>
      <c r="C181" s="23" t="inlineStr">
        <is>
          <t>Bajaj KOO B1H</t>
        </is>
      </c>
      <c r="D181" s="23" t="inlineStr">
        <is>
          <t>KOOB1H</t>
        </is>
      </c>
      <c r="H181" s="23" t="n">
        <v>240000</v>
      </c>
      <c r="I181" s="23" t="n">
        <v>240000</v>
      </c>
      <c r="J181" s="23" t="inlineStr">
        <is>
          <t>efectivo</t>
        </is>
      </c>
    </row>
    <row r="182" hidden="1" customFormat="1" s="23">
      <c r="A182" s="38" t="n">
        <v>45683</v>
      </c>
      <c r="B182" s="23" t="inlineStr">
        <is>
          <t>Jorge Luis Reyes</t>
        </is>
      </c>
      <c r="C182" s="23" t="inlineStr">
        <is>
          <t>Bajaj KOO B1H</t>
        </is>
      </c>
      <c r="D182" s="23" t="inlineStr">
        <is>
          <t>KOOB1H</t>
        </is>
      </c>
      <c r="H182" s="23" t="n">
        <v>240000</v>
      </c>
      <c r="I182" s="23" t="n">
        <v>240000</v>
      </c>
      <c r="J182" s="23" t="inlineStr">
        <is>
          <t>efectivo</t>
        </is>
      </c>
    </row>
    <row r="183" hidden="1" customFormat="1" s="23">
      <c r="A183" s="38" t="n">
        <v>45691</v>
      </c>
      <c r="B183" s="23" t="inlineStr">
        <is>
          <t>Jorge Luis Reyes</t>
        </is>
      </c>
      <c r="C183" s="23" t="inlineStr">
        <is>
          <t>Bajaj KOO B1H</t>
        </is>
      </c>
      <c r="D183" s="23" t="inlineStr">
        <is>
          <t>KOOB1H</t>
        </is>
      </c>
      <c r="H183" s="23" t="n">
        <v>240000</v>
      </c>
      <c r="I183" s="23" t="n">
        <v>240000</v>
      </c>
      <c r="J183" s="23" t="inlineStr">
        <is>
          <t>efectivo</t>
        </is>
      </c>
    </row>
    <row r="184" hidden="1" customFormat="1" s="23">
      <c r="A184" s="38" t="n">
        <v>45700</v>
      </c>
      <c r="B184" s="23" t="inlineStr">
        <is>
          <t>Jorge Luis Reyes</t>
        </is>
      </c>
      <c r="C184" s="23" t="inlineStr">
        <is>
          <t>Bajaj KOO B1H</t>
        </is>
      </c>
      <c r="D184" s="23" t="inlineStr">
        <is>
          <t>KOOB1H</t>
        </is>
      </c>
      <c r="H184" s="23" t="n">
        <v>240000</v>
      </c>
      <c r="I184" s="23" t="n">
        <v>240000</v>
      </c>
      <c r="J184" s="23" t="inlineStr">
        <is>
          <t>efectivo</t>
        </is>
      </c>
    </row>
    <row r="185" hidden="1" customFormat="1" s="23">
      <c r="A185" s="38" t="n">
        <v>45708</v>
      </c>
      <c r="B185" s="23" t="inlineStr">
        <is>
          <t>Jorge Luis Reyes</t>
        </is>
      </c>
      <c r="C185" s="23" t="inlineStr">
        <is>
          <t>Bajaj KOO B1H</t>
        </is>
      </c>
      <c r="D185" s="23" t="inlineStr">
        <is>
          <t>KOOB1H</t>
        </is>
      </c>
      <c r="H185" s="23" t="n">
        <v>240000</v>
      </c>
      <c r="I185" s="23" t="n">
        <v>240000</v>
      </c>
      <c r="J185" s="23" t="inlineStr">
        <is>
          <t>efectivo</t>
        </is>
      </c>
    </row>
    <row r="186" hidden="1" customFormat="1" s="23">
      <c r="A186" s="38" t="n">
        <v>45716</v>
      </c>
      <c r="B186" s="23" t="inlineStr">
        <is>
          <t>Jorge Luis Reyes</t>
        </is>
      </c>
      <c r="C186" s="23" t="inlineStr">
        <is>
          <t>Bajaj KOO B1H</t>
        </is>
      </c>
      <c r="D186" s="23" t="inlineStr">
        <is>
          <t>KOOB1H</t>
        </is>
      </c>
      <c r="H186" s="23" t="n">
        <v>240000</v>
      </c>
      <c r="I186" s="23" t="n">
        <v>240000</v>
      </c>
      <c r="J186" s="23" t="inlineStr">
        <is>
          <t>efectivo</t>
        </is>
      </c>
    </row>
    <row r="187" hidden="1" customFormat="1" s="23">
      <c r="A187" s="38" t="n">
        <v>45724</v>
      </c>
      <c r="B187" s="23" t="inlineStr">
        <is>
          <t>Jorge Luis Reyes</t>
        </is>
      </c>
      <c r="C187" s="23" t="inlineStr">
        <is>
          <t>Bajaj KOO B1H</t>
        </is>
      </c>
      <c r="D187" s="23" t="inlineStr">
        <is>
          <t>KOOB1H</t>
        </is>
      </c>
      <c r="H187" s="23" t="n">
        <v>240000</v>
      </c>
      <c r="I187" s="23" t="n">
        <v>240000</v>
      </c>
      <c r="J187" s="23" t="inlineStr">
        <is>
          <t>efectivo</t>
        </is>
      </c>
    </row>
    <row r="188" hidden="1" customFormat="1" s="23">
      <c r="A188" s="38" t="n">
        <v>45732</v>
      </c>
      <c r="B188" s="23" t="inlineStr">
        <is>
          <t>Jorge Luis Reyes</t>
        </is>
      </c>
      <c r="C188" s="23" t="inlineStr">
        <is>
          <t>Bajaj KOO B1H</t>
        </is>
      </c>
      <c r="D188" s="23" t="inlineStr">
        <is>
          <t>KOOB1H</t>
        </is>
      </c>
      <c r="H188" s="23" t="n">
        <v>240000</v>
      </c>
      <c r="I188" s="23" t="n">
        <v>240000</v>
      </c>
      <c r="J188" s="23" t="inlineStr">
        <is>
          <t>efectivo</t>
        </is>
      </c>
    </row>
    <row r="189" hidden="1" customFormat="1" s="23">
      <c r="A189" s="38" t="n">
        <v>45740</v>
      </c>
      <c r="B189" s="23" t="inlineStr">
        <is>
          <t>Jorge Luis Reyes</t>
        </is>
      </c>
      <c r="C189" s="23" t="inlineStr">
        <is>
          <t>Bajaj KOO B1H</t>
        </is>
      </c>
      <c r="D189" s="23" t="inlineStr">
        <is>
          <t>KOOB1H</t>
        </is>
      </c>
      <c r="H189" s="23" t="n">
        <v>240000</v>
      </c>
      <c r="I189" s="23" t="n">
        <v>240000</v>
      </c>
      <c r="J189" s="23" t="inlineStr">
        <is>
          <t>efectivo</t>
        </is>
      </c>
    </row>
    <row r="190" hidden="1" customFormat="1" s="23">
      <c r="A190" s="38" t="n">
        <v>45748</v>
      </c>
      <c r="B190" s="23" t="inlineStr">
        <is>
          <t>Jorge Luis Reyes</t>
        </is>
      </c>
      <c r="C190" s="23" t="inlineStr">
        <is>
          <t>Bajaj KOO B1H</t>
        </is>
      </c>
      <c r="D190" s="23" t="inlineStr">
        <is>
          <t>KOOB1H</t>
        </is>
      </c>
      <c r="H190" s="23" t="n">
        <v>240000</v>
      </c>
      <c r="I190" s="23" t="n">
        <v>240000</v>
      </c>
      <c r="J190" s="23" t="inlineStr">
        <is>
          <t>efectivo</t>
        </is>
      </c>
    </row>
    <row r="191" hidden="1" customFormat="1" s="23">
      <c r="A191" s="38" t="n">
        <v>45756</v>
      </c>
      <c r="B191" s="23" t="inlineStr">
        <is>
          <t>Jorge Luis Reyes</t>
        </is>
      </c>
      <c r="C191" s="23" t="inlineStr">
        <is>
          <t>Bajaj KOO B1H</t>
        </is>
      </c>
      <c r="D191" s="23" t="inlineStr">
        <is>
          <t>KOOB1H</t>
        </is>
      </c>
      <c r="H191" s="23" t="n">
        <v>240000</v>
      </c>
      <c r="I191" s="23" t="n">
        <v>240000</v>
      </c>
      <c r="J191" s="23" t="inlineStr">
        <is>
          <t>efectivo</t>
        </is>
      </c>
    </row>
    <row r="192" hidden="1" customFormat="1" s="23">
      <c r="A192" s="38" t="n">
        <v>45764</v>
      </c>
      <c r="B192" s="23" t="inlineStr">
        <is>
          <t>Jorge Luis Reyes</t>
        </is>
      </c>
      <c r="C192" s="23" t="inlineStr">
        <is>
          <t>Bajaj KOO B1H</t>
        </is>
      </c>
      <c r="D192" s="23" t="inlineStr">
        <is>
          <t>KOOB1H</t>
        </is>
      </c>
      <c r="H192" s="23" t="n">
        <v>240000</v>
      </c>
      <c r="I192" s="23" t="n">
        <v>240000</v>
      </c>
      <c r="J192" s="23" t="inlineStr">
        <is>
          <t>efectivo</t>
        </is>
      </c>
    </row>
    <row r="193" hidden="1" customFormat="1" s="23">
      <c r="A193" s="38" t="n">
        <v>45772</v>
      </c>
      <c r="B193" s="23" t="inlineStr">
        <is>
          <t>Jorge Luis Reyes</t>
        </is>
      </c>
      <c r="C193" s="23" t="inlineStr">
        <is>
          <t>Bajaj KOO B1H</t>
        </is>
      </c>
      <c r="D193" s="23" t="inlineStr">
        <is>
          <t>KOOB1H</t>
        </is>
      </c>
      <c r="H193" s="23" t="n">
        <v>240000</v>
      </c>
      <c r="I193" s="23" t="n">
        <v>240000</v>
      </c>
      <c r="J193" s="23" t="inlineStr">
        <is>
          <t>efectivo</t>
        </is>
      </c>
    </row>
    <row r="194" hidden="1" customFormat="1" s="23">
      <c r="A194" s="38" t="n">
        <v>45780</v>
      </c>
      <c r="B194" s="23" t="inlineStr">
        <is>
          <t>Jorge Luis Reyes</t>
        </is>
      </c>
      <c r="C194" s="23" t="inlineStr">
        <is>
          <t>Bajaj KOO B1H</t>
        </is>
      </c>
      <c r="D194" s="23" t="inlineStr">
        <is>
          <t>KOOB1H</t>
        </is>
      </c>
      <c r="H194" s="23" t="n">
        <v>240000</v>
      </c>
      <c r="I194" s="23" t="n">
        <v>240000</v>
      </c>
      <c r="J194" s="23" t="inlineStr">
        <is>
          <t>efectivo</t>
        </is>
      </c>
    </row>
    <row r="195" hidden="1" customFormat="1" s="23">
      <c r="A195" s="38" t="n">
        <v>45788</v>
      </c>
      <c r="B195" s="23" t="inlineStr">
        <is>
          <t>Jorge Luis Reyes</t>
        </is>
      </c>
      <c r="C195" s="23" t="inlineStr">
        <is>
          <t>Bajaj KOO B1H</t>
        </is>
      </c>
      <c r="D195" s="23" t="inlineStr">
        <is>
          <t>KOOB1H</t>
        </is>
      </c>
      <c r="H195" s="23" t="n">
        <v>240000</v>
      </c>
      <c r="I195" s="23" t="n">
        <v>240000</v>
      </c>
      <c r="J195" s="23" t="inlineStr">
        <is>
          <t>efectivo</t>
        </is>
      </c>
    </row>
    <row r="196" hidden="1" customFormat="1" s="23">
      <c r="A196" s="38" t="n">
        <v>45796</v>
      </c>
      <c r="B196" s="23" t="inlineStr">
        <is>
          <t>Jorge Luis Reyes</t>
        </is>
      </c>
      <c r="C196" s="23" t="inlineStr">
        <is>
          <t>Bajaj KOO B1H</t>
        </is>
      </c>
      <c r="D196" s="23" t="inlineStr">
        <is>
          <t>KOOB1H</t>
        </is>
      </c>
      <c r="H196" s="23" t="n">
        <v>240000</v>
      </c>
      <c r="I196" s="23" t="n">
        <v>240000</v>
      </c>
      <c r="J196" s="23" t="inlineStr">
        <is>
          <t>efectivo</t>
        </is>
      </c>
    </row>
    <row r="197" hidden="1" customFormat="1" s="23">
      <c r="A197" s="38" t="n">
        <v>45804</v>
      </c>
      <c r="B197" s="23" t="inlineStr">
        <is>
          <t>Jorge Luis Reyes</t>
        </is>
      </c>
      <c r="C197" s="23" t="inlineStr">
        <is>
          <t>Bajaj KOO B1H</t>
        </is>
      </c>
      <c r="D197" s="23" t="inlineStr">
        <is>
          <t>KOOB1H</t>
        </is>
      </c>
      <c r="H197" s="23" t="n">
        <v>240000</v>
      </c>
      <c r="I197" s="23" t="n">
        <v>240000</v>
      </c>
      <c r="J197" s="23" t="inlineStr">
        <is>
          <t>efectivo</t>
        </is>
      </c>
    </row>
    <row r="198" hidden="1" customFormat="1" s="23">
      <c r="A198" s="38" t="n">
        <v>45812</v>
      </c>
      <c r="B198" s="23" t="inlineStr">
        <is>
          <t>Jorge Luis Reyes</t>
        </is>
      </c>
      <c r="C198" s="23" t="inlineStr">
        <is>
          <t>Bajaj KOO B1H</t>
        </is>
      </c>
      <c r="D198" s="23" t="inlineStr">
        <is>
          <t>KOOB1H</t>
        </is>
      </c>
      <c r="H198" s="23" t="n">
        <v>240000</v>
      </c>
      <c r="I198" s="23" t="n">
        <v>240000</v>
      </c>
      <c r="J198" s="23" t="inlineStr">
        <is>
          <t>efectivo</t>
        </is>
      </c>
    </row>
    <row r="199" hidden="1" customFormat="1" s="23">
      <c r="A199" s="38" t="n">
        <v>45820</v>
      </c>
      <c r="B199" s="23" t="inlineStr">
        <is>
          <t>Jorge Luis Reyes</t>
        </is>
      </c>
      <c r="C199" s="23" t="inlineStr">
        <is>
          <t>Bajaj KOO B1H</t>
        </is>
      </c>
      <c r="D199" s="23" t="inlineStr">
        <is>
          <t>KOOB1H</t>
        </is>
      </c>
      <c r="H199" s="23" t="n">
        <v>240000</v>
      </c>
      <c r="I199" s="23" t="n">
        <v>240000</v>
      </c>
      <c r="J199" s="23" t="inlineStr">
        <is>
          <t>efectivo</t>
        </is>
      </c>
    </row>
    <row r="200" hidden="1" customFormat="1" s="23">
      <c r="A200" s="38" t="n">
        <v>45828</v>
      </c>
      <c r="B200" s="23" t="inlineStr">
        <is>
          <t>Jorge Luis Reyes</t>
        </is>
      </c>
      <c r="C200" s="23" t="inlineStr">
        <is>
          <t>Bajaj KOO B1H</t>
        </is>
      </c>
      <c r="D200" s="23" t="inlineStr">
        <is>
          <t>KOOB1H</t>
        </is>
      </c>
      <c r="H200" s="23" t="n">
        <v>240000</v>
      </c>
      <c r="I200" s="23" t="n">
        <v>240000</v>
      </c>
      <c r="J200" s="23" t="inlineStr">
        <is>
          <t>efectivo</t>
        </is>
      </c>
    </row>
    <row r="201" hidden="1" customFormat="1" s="23">
      <c r="A201" s="38" t="n">
        <v>45836</v>
      </c>
      <c r="B201" s="23" t="inlineStr">
        <is>
          <t>Jorge Luis Reyes</t>
        </is>
      </c>
      <c r="C201" s="23" t="inlineStr">
        <is>
          <t>Bajaj KOO B1H</t>
        </is>
      </c>
      <c r="D201" s="23" t="inlineStr">
        <is>
          <t>KOOB1H</t>
        </is>
      </c>
      <c r="H201" s="23" t="n">
        <v>240000</v>
      </c>
      <c r="I201" s="23" t="n">
        <v>240000</v>
      </c>
      <c r="J201" s="23" t="inlineStr">
        <is>
          <t>efectivo</t>
        </is>
      </c>
    </row>
    <row r="202" hidden="1" customFormat="1" s="23">
      <c r="A202" s="38" t="n">
        <v>45844</v>
      </c>
      <c r="B202" s="23" t="inlineStr">
        <is>
          <t>Jorge Luis Reyes</t>
        </is>
      </c>
      <c r="C202" s="23" t="inlineStr">
        <is>
          <t>Bajaj KOO B1H</t>
        </is>
      </c>
      <c r="D202" s="23" t="inlineStr">
        <is>
          <t>KOOB1H</t>
        </is>
      </c>
      <c r="H202" s="23" t="n">
        <v>240000</v>
      </c>
      <c r="I202" s="23" t="n">
        <v>240000</v>
      </c>
      <c r="J202" s="23" t="inlineStr">
        <is>
          <t>efectivo</t>
        </is>
      </c>
    </row>
    <row r="203" hidden="1" customFormat="1" s="23">
      <c r="A203" s="38" t="n">
        <v>45852</v>
      </c>
      <c r="B203" s="23" t="inlineStr">
        <is>
          <t>Jorge Luis Reyes</t>
        </is>
      </c>
      <c r="C203" s="23" t="inlineStr">
        <is>
          <t>Bajaj KOO B1H</t>
        </is>
      </c>
      <c r="D203" s="23" t="inlineStr">
        <is>
          <t>KOOB1H</t>
        </is>
      </c>
      <c r="H203" s="23" t="n">
        <v>240000</v>
      </c>
      <c r="I203" s="23" t="n">
        <v>240000</v>
      </c>
      <c r="J203" s="23" t="inlineStr">
        <is>
          <t>efectivo</t>
        </is>
      </c>
    </row>
    <row r="204" hidden="1" customFormat="1" s="23">
      <c r="A204" s="38" t="n">
        <v>45860</v>
      </c>
      <c r="B204" s="23" t="inlineStr">
        <is>
          <t>Jorge Luis Reyes</t>
        </is>
      </c>
      <c r="C204" s="23" t="inlineStr">
        <is>
          <t>Bajaj KOO B1H</t>
        </is>
      </c>
      <c r="D204" s="23" t="inlineStr">
        <is>
          <t>KOOB1H</t>
        </is>
      </c>
      <c r="H204" s="23" t="n">
        <v>240000</v>
      </c>
      <c r="I204" s="23" t="n">
        <v>240000</v>
      </c>
      <c r="J204" s="23" t="inlineStr">
        <is>
          <t>efectivo</t>
        </is>
      </c>
    </row>
    <row r="205" hidden="1" customFormat="1" s="23">
      <c r="A205" s="38" t="n">
        <v>45868</v>
      </c>
      <c r="B205" s="23" t="inlineStr">
        <is>
          <t>Jorge Luis Reyes</t>
        </is>
      </c>
      <c r="C205" s="23" t="inlineStr">
        <is>
          <t>Bajaj KOO B1H</t>
        </is>
      </c>
      <c r="D205" s="23" t="inlineStr">
        <is>
          <t>KOOB1H</t>
        </is>
      </c>
      <c r="H205" s="23" t="n">
        <v>240000</v>
      </c>
      <c r="I205" s="23" t="n">
        <v>240000</v>
      </c>
      <c r="J205" s="23" t="inlineStr">
        <is>
          <t>efectivo</t>
        </is>
      </c>
    </row>
    <row r="206" hidden="1" customFormat="1" s="23">
      <c r="A206" s="38" t="n">
        <v>45876</v>
      </c>
      <c r="B206" s="23" t="inlineStr">
        <is>
          <t>Jorge Luis Reyes</t>
        </is>
      </c>
      <c r="C206" s="23" t="inlineStr">
        <is>
          <t>Bajaj KOO B1H</t>
        </is>
      </c>
      <c r="D206" s="23" t="inlineStr">
        <is>
          <t>KOOB1H</t>
        </is>
      </c>
      <c r="H206" s="23" t="n">
        <v>240000</v>
      </c>
      <c r="I206" s="23" t="n">
        <v>240000</v>
      </c>
      <c r="J206" s="23" t="inlineStr">
        <is>
          <t>efectivo</t>
        </is>
      </c>
    </row>
    <row r="207" hidden="1" customFormat="1" s="23">
      <c r="A207" s="38" t="n">
        <v>45884</v>
      </c>
      <c r="B207" s="23" t="inlineStr">
        <is>
          <t>Jorge Luis Reyes</t>
        </is>
      </c>
      <c r="C207" s="23" t="inlineStr">
        <is>
          <t>Bajaj KOO B1H</t>
        </is>
      </c>
      <c r="D207" s="23" t="inlineStr">
        <is>
          <t>KOOB1H</t>
        </is>
      </c>
      <c r="H207" s="23" t="n">
        <v>240000</v>
      </c>
      <c r="I207" s="23" t="n">
        <v>240000</v>
      </c>
      <c r="J207" s="23" t="inlineStr">
        <is>
          <t>efectivo</t>
        </is>
      </c>
    </row>
    <row r="208" hidden="1" customFormat="1" s="23">
      <c r="A208" s="38" t="n">
        <v>45892</v>
      </c>
      <c r="B208" s="23" t="inlineStr">
        <is>
          <t>Jorge Luis Reyes</t>
        </is>
      </c>
      <c r="C208" s="23" t="inlineStr">
        <is>
          <t>Bajaj KOO B1H</t>
        </is>
      </c>
      <c r="D208" s="23" t="inlineStr">
        <is>
          <t>KOOB1H</t>
        </is>
      </c>
      <c r="H208" s="23" t="n">
        <v>240000</v>
      </c>
      <c r="I208" s="23" t="n">
        <v>240000</v>
      </c>
      <c r="J208" s="23" t="inlineStr">
        <is>
          <t>efectivo</t>
        </is>
      </c>
    </row>
    <row r="209" hidden="1" customFormat="1" s="23">
      <c r="A209" s="38" t="n">
        <v>45900</v>
      </c>
      <c r="B209" s="23" t="inlineStr">
        <is>
          <t>Jorge Luis Reyes</t>
        </is>
      </c>
      <c r="C209" s="23" t="inlineStr">
        <is>
          <t>Bajaj KOO B1H</t>
        </is>
      </c>
      <c r="D209" s="23" t="inlineStr">
        <is>
          <t>KOOB1H</t>
        </is>
      </c>
      <c r="H209" s="23" t="n">
        <v>240000</v>
      </c>
      <c r="I209" s="23" t="n">
        <v>240000</v>
      </c>
      <c r="J209" s="23" t="inlineStr">
        <is>
          <t>efectivo</t>
        </is>
      </c>
    </row>
    <row r="210" hidden="1" customFormat="1" s="23">
      <c r="A210" s="38" t="n">
        <v>45908</v>
      </c>
      <c r="B210" s="23" t="inlineStr">
        <is>
          <t>Jorge Luis Reyes</t>
        </is>
      </c>
      <c r="C210" s="23" t="inlineStr">
        <is>
          <t>Bajaj KOO B1H</t>
        </is>
      </c>
      <c r="D210" s="23" t="inlineStr">
        <is>
          <t>KOOB1H</t>
        </is>
      </c>
      <c r="H210" s="23" t="n">
        <v>240000</v>
      </c>
      <c r="I210" s="23" t="n">
        <v>240000</v>
      </c>
      <c r="J210" s="23" t="inlineStr">
        <is>
          <t>efectivo</t>
        </is>
      </c>
    </row>
    <row r="211" hidden="1" customFormat="1" s="23">
      <c r="A211" s="38" t="n">
        <v>45916</v>
      </c>
      <c r="B211" s="23" t="inlineStr">
        <is>
          <t>Jorge Luis Reyes</t>
        </is>
      </c>
      <c r="C211" s="23" t="inlineStr">
        <is>
          <t>Bajaj KOO B1H</t>
        </is>
      </c>
      <c r="D211" s="23" t="inlineStr">
        <is>
          <t>KOOB1H</t>
        </is>
      </c>
      <c r="H211" s="23" t="n">
        <v>240000</v>
      </c>
      <c r="I211" s="23" t="n">
        <v>240000</v>
      </c>
      <c r="J211" s="23" t="inlineStr">
        <is>
          <t>efectivo</t>
        </is>
      </c>
    </row>
    <row r="212" hidden="1" customFormat="1" s="23">
      <c r="A212" s="38" t="n">
        <v>45924</v>
      </c>
      <c r="B212" s="23" t="inlineStr">
        <is>
          <t>Jorge Luis Reyes</t>
        </is>
      </c>
      <c r="C212" s="23" t="inlineStr">
        <is>
          <t>Bajaj KOO B1H</t>
        </is>
      </c>
      <c r="D212" s="23" t="inlineStr">
        <is>
          <t>KOOB1H</t>
        </is>
      </c>
      <c r="H212" s="23" t="n">
        <v>240000</v>
      </c>
      <c r="I212" s="23" t="n">
        <v>240000</v>
      </c>
      <c r="J212" s="23" t="inlineStr">
        <is>
          <t>efectivo</t>
        </is>
      </c>
    </row>
    <row r="213" hidden="1" customFormat="1" s="23">
      <c r="A213" s="38" t="n">
        <v>45931</v>
      </c>
      <c r="B213" s="23" t="inlineStr">
        <is>
          <t>Jorge Luis Reyes</t>
        </is>
      </c>
      <c r="C213" s="23" t="inlineStr">
        <is>
          <t>Bajaj KOO B1H</t>
        </is>
      </c>
      <c r="D213" s="23" t="inlineStr">
        <is>
          <t>KOOB1H</t>
        </is>
      </c>
      <c r="H213" s="23" t="n">
        <v>240000</v>
      </c>
      <c r="I213" s="23" t="n">
        <v>240000</v>
      </c>
      <c r="J213" s="23" t="inlineStr">
        <is>
          <t>efectivo</t>
        </is>
      </c>
    </row>
    <row r="214" hidden="1" customFormat="1" s="23">
      <c r="A214" s="38" t="n">
        <v>45938</v>
      </c>
      <c r="B214" s="23" t="inlineStr">
        <is>
          <t>Jorge Luis Reyes</t>
        </is>
      </c>
      <c r="C214" s="23" t="inlineStr">
        <is>
          <t>Bajaj KOO B1H</t>
        </is>
      </c>
      <c r="D214" s="23" t="inlineStr">
        <is>
          <t>KOOB1H</t>
        </is>
      </c>
      <c r="H214" s="23" t="n">
        <v>240000</v>
      </c>
      <c r="I214" s="23" t="n">
        <v>240000</v>
      </c>
      <c r="J214" s="23" t="inlineStr">
        <is>
          <t>efectivo</t>
        </is>
      </c>
    </row>
    <row r="215" hidden="1" customFormat="1" s="23">
      <c r="A215" s="38" t="n">
        <v>45946</v>
      </c>
      <c r="B215" s="23" t="inlineStr">
        <is>
          <t>Jorge Luis Reyes</t>
        </is>
      </c>
      <c r="C215" s="23" t="inlineStr">
        <is>
          <t>Bajaj KOO B1H</t>
        </is>
      </c>
      <c r="D215" s="23" t="inlineStr">
        <is>
          <t>KOOB1H</t>
        </is>
      </c>
      <c r="H215" s="23" t="n">
        <v>240000</v>
      </c>
      <c r="I215" s="23" t="n">
        <v>240000</v>
      </c>
      <c r="J215" s="23" t="inlineStr">
        <is>
          <t>efectivo</t>
        </is>
      </c>
    </row>
    <row r="216" hidden="1" customFormat="1" s="23">
      <c r="A216" s="38" t="n">
        <v>45954</v>
      </c>
      <c r="B216" s="23" t="inlineStr">
        <is>
          <t>Jorge Luis Reyes</t>
        </is>
      </c>
      <c r="C216" s="23" t="inlineStr">
        <is>
          <t>Bajaj KOO B1H</t>
        </is>
      </c>
      <c r="D216" s="23" t="inlineStr">
        <is>
          <t>KOOB1H</t>
        </is>
      </c>
      <c r="H216" s="23" t="n">
        <v>240000</v>
      </c>
      <c r="I216" s="23" t="n">
        <v>240000</v>
      </c>
      <c r="J216" s="23" t="inlineStr">
        <is>
          <t>efectivo</t>
        </is>
      </c>
    </row>
    <row r="217" hidden="1" customFormat="1" s="23">
      <c r="A217" s="38" t="n">
        <v>45962</v>
      </c>
      <c r="B217" s="23" t="inlineStr">
        <is>
          <t>Jorge Luis Reyes</t>
        </is>
      </c>
      <c r="C217" s="23" t="inlineStr">
        <is>
          <t>Bajaj KOO B1H</t>
        </is>
      </c>
      <c r="D217" s="23" t="inlineStr">
        <is>
          <t>KOOB1H</t>
        </is>
      </c>
      <c r="H217" s="23" t="n">
        <v>240000</v>
      </c>
      <c r="I217" s="23" t="n">
        <v>240000</v>
      </c>
      <c r="J217" s="23" t="inlineStr">
        <is>
          <t>efectivo</t>
        </is>
      </c>
    </row>
    <row r="218" hidden="1" customFormat="1" s="23">
      <c r="A218" s="38" t="n">
        <v>45970</v>
      </c>
      <c r="B218" s="23" t="inlineStr">
        <is>
          <t>Jorge Luis Reyes</t>
        </is>
      </c>
      <c r="C218" s="23" t="inlineStr">
        <is>
          <t>Bajaj KOO B1H</t>
        </is>
      </c>
      <c r="D218" s="23" t="inlineStr">
        <is>
          <t>KOOB1H</t>
        </is>
      </c>
      <c r="H218" s="23" t="n">
        <v>240000</v>
      </c>
      <c r="I218" s="23" t="n">
        <v>240000</v>
      </c>
      <c r="J218" s="23" t="inlineStr">
        <is>
          <t>efectivo</t>
        </is>
      </c>
    </row>
    <row r="219" hidden="1" customFormat="1" s="23">
      <c r="A219" s="38" t="n">
        <v>45978</v>
      </c>
      <c r="B219" s="23" t="inlineStr">
        <is>
          <t>Jorge Luis Reyes</t>
        </is>
      </c>
      <c r="C219" s="23" t="inlineStr">
        <is>
          <t>Bajaj KOO B1H</t>
        </is>
      </c>
      <c r="D219" s="23" t="inlineStr">
        <is>
          <t>KOOB1H</t>
        </is>
      </c>
      <c r="H219" s="23" t="n">
        <v>240000</v>
      </c>
      <c r="I219" s="23" t="n">
        <v>240000</v>
      </c>
      <c r="J219" s="23" t="inlineStr">
        <is>
          <t>efectivo</t>
        </is>
      </c>
    </row>
    <row r="220" hidden="1" customFormat="1" s="23">
      <c r="A220" s="38" t="n">
        <v>45986</v>
      </c>
      <c r="B220" s="23" t="inlineStr">
        <is>
          <t>Jorge Luis Reyes</t>
        </is>
      </c>
      <c r="C220" s="23" t="inlineStr">
        <is>
          <t>Bajaj KOO B1H</t>
        </is>
      </c>
      <c r="D220" s="23" t="inlineStr">
        <is>
          <t>KOOB1H</t>
        </is>
      </c>
      <c r="H220" s="23" t="n">
        <v>240000</v>
      </c>
      <c r="I220" s="23" t="n">
        <v>240000</v>
      </c>
      <c r="J220" s="23" t="inlineStr">
        <is>
          <t>efectivo</t>
        </is>
      </c>
    </row>
    <row r="221" hidden="1" customFormat="1" s="23">
      <c r="A221" s="38" t="n">
        <v>45994</v>
      </c>
      <c r="B221" s="23" t="inlineStr">
        <is>
          <t>Jorge Luis Reyes</t>
        </is>
      </c>
      <c r="C221" s="23" t="inlineStr">
        <is>
          <t>Bajaj KOO B1H</t>
        </is>
      </c>
      <c r="D221" s="23" t="inlineStr">
        <is>
          <t>KOOB1H</t>
        </is>
      </c>
      <c r="H221" s="23" t="n">
        <v>240000</v>
      </c>
      <c r="I221" s="23" t="n">
        <v>240000</v>
      </c>
      <c r="J221" s="23" t="inlineStr">
        <is>
          <t>efectivo</t>
        </is>
      </c>
    </row>
    <row r="222" hidden="1" customFormat="1" s="23">
      <c r="A222" s="38" t="n">
        <v>46002</v>
      </c>
      <c r="B222" s="23" t="inlineStr">
        <is>
          <t>Jorge Luis Reyes</t>
        </is>
      </c>
      <c r="C222" s="23" t="inlineStr">
        <is>
          <t>Bajaj KOO B1H</t>
        </is>
      </c>
      <c r="D222" s="23" t="inlineStr">
        <is>
          <t>KOOB1H</t>
        </is>
      </c>
      <c r="H222" s="23" t="n">
        <v>240000</v>
      </c>
      <c r="I222" s="23" t="n">
        <v>240000</v>
      </c>
      <c r="J222" s="23" t="inlineStr">
        <is>
          <t>efectivo</t>
        </is>
      </c>
    </row>
    <row r="223" hidden="1" customFormat="1" s="23">
      <c r="A223" s="38" t="n">
        <v>46009</v>
      </c>
      <c r="B223" s="23" t="inlineStr">
        <is>
          <t>Jorge Luis Reyes</t>
        </is>
      </c>
      <c r="C223" s="23" t="inlineStr">
        <is>
          <t>Bajaj KOO B1H</t>
        </is>
      </c>
      <c r="D223" s="23" t="inlineStr">
        <is>
          <t>KOOB1H</t>
        </is>
      </c>
      <c r="H223" s="23" t="n">
        <v>240000</v>
      </c>
      <c r="I223" s="23" t="n">
        <v>240000</v>
      </c>
      <c r="J223" s="23" t="inlineStr">
        <is>
          <t>efectivo</t>
        </is>
      </c>
    </row>
    <row r="224" hidden="1" customFormat="1" s="23">
      <c r="A224" s="38" t="n">
        <v>46018</v>
      </c>
      <c r="B224" s="23" t="inlineStr">
        <is>
          <t>Jorge Luis Reyes</t>
        </is>
      </c>
      <c r="C224" s="23" t="inlineStr">
        <is>
          <t>Bajaj KOO B1H</t>
        </is>
      </c>
      <c r="D224" s="23" t="inlineStr">
        <is>
          <t>KOOB1H</t>
        </is>
      </c>
      <c r="H224" s="23" t="n">
        <v>240000</v>
      </c>
      <c r="I224" s="23" t="n">
        <v>240000</v>
      </c>
      <c r="J224" s="23" t="inlineStr">
        <is>
          <t>efectivo</t>
        </is>
      </c>
    </row>
    <row r="225" hidden="1" customFormat="1" s="23">
      <c r="A225" s="38" t="n">
        <v>46031</v>
      </c>
      <c r="B225" s="23" t="inlineStr">
        <is>
          <t>Jorge Luis Reyes</t>
        </is>
      </c>
      <c r="C225" s="23" t="inlineStr">
        <is>
          <t>Bajaj KOO B1H</t>
        </is>
      </c>
      <c r="D225" s="23" t="inlineStr">
        <is>
          <t>KOOB1H</t>
        </is>
      </c>
      <c r="H225" s="23" t="n">
        <v>240000</v>
      </c>
      <c r="I225" s="23" t="n">
        <v>240000</v>
      </c>
      <c r="J225" s="23" t="inlineStr">
        <is>
          <t>efectivo</t>
        </is>
      </c>
    </row>
    <row r="226" hidden="1" customFormat="1" s="23">
      <c r="A226" s="38" t="n">
        <v>46039</v>
      </c>
      <c r="B226" s="23" t="inlineStr">
        <is>
          <t>Jorge Luis Reyes</t>
        </is>
      </c>
      <c r="C226" s="23" t="inlineStr">
        <is>
          <t>Bajaj KOO B1H</t>
        </is>
      </c>
      <c r="D226" s="23" t="inlineStr">
        <is>
          <t>KOOB1H</t>
        </is>
      </c>
      <c r="H226" s="23" t="n">
        <v>240000</v>
      </c>
      <c r="I226" s="23" t="n">
        <v>240000</v>
      </c>
      <c r="J226" s="23" t="inlineStr">
        <is>
          <t>efectivo</t>
        </is>
      </c>
    </row>
    <row r="227" hidden="1" customFormat="1" s="23">
      <c r="A227" s="38" t="n">
        <v>46047</v>
      </c>
      <c r="B227" s="23" t="inlineStr">
        <is>
          <t>Jorge Luis Reyes</t>
        </is>
      </c>
      <c r="C227" s="23" t="inlineStr">
        <is>
          <t>Bajaj KOO B1H</t>
        </is>
      </c>
      <c r="D227" s="23" t="inlineStr">
        <is>
          <t>KOOB1H</t>
        </is>
      </c>
      <c r="H227" s="23" t="n">
        <v>240000</v>
      </c>
      <c r="I227" s="23" t="n">
        <v>240000</v>
      </c>
      <c r="J227" s="23" t="inlineStr">
        <is>
          <t>efectivo</t>
        </is>
      </c>
    </row>
    <row r="228" hidden="1" customFormat="1" s="23">
      <c r="A228" s="38" t="n">
        <v>46055</v>
      </c>
      <c r="B228" s="23" t="inlineStr">
        <is>
          <t>Jorge Luis Reyes</t>
        </is>
      </c>
      <c r="C228" s="23" t="inlineStr">
        <is>
          <t>Bajaj KOO B1H</t>
        </is>
      </c>
      <c r="D228" s="23" t="inlineStr">
        <is>
          <t>KOOB1H</t>
        </is>
      </c>
      <c r="H228" s="23" t="n">
        <v>240000</v>
      </c>
      <c r="I228" s="23" t="n">
        <v>240000</v>
      </c>
      <c r="J228" s="23" t="inlineStr">
        <is>
          <t>efectivo</t>
        </is>
      </c>
    </row>
    <row r="229" hidden="1" customFormat="1" s="23">
      <c r="A229" s="38" t="n">
        <v>46063</v>
      </c>
      <c r="B229" s="23" t="inlineStr">
        <is>
          <t>Jorge Luis Reyes</t>
        </is>
      </c>
      <c r="C229" s="23" t="inlineStr">
        <is>
          <t>Bajaj KOO B1H</t>
        </is>
      </c>
      <c r="D229" s="23" t="inlineStr">
        <is>
          <t>KOOB1H</t>
        </is>
      </c>
      <c r="H229" s="23" t="n">
        <v>240000</v>
      </c>
      <c r="I229" s="23" t="n">
        <v>240000</v>
      </c>
      <c r="J229" s="23" t="inlineStr">
        <is>
          <t>efectivo</t>
        </is>
      </c>
    </row>
    <row r="230" hidden="1" customFormat="1" s="23">
      <c r="A230" s="38" t="n">
        <v>46071</v>
      </c>
      <c r="B230" s="23" t="inlineStr">
        <is>
          <t>Jorge Luis Reyes</t>
        </is>
      </c>
      <c r="C230" s="23" t="inlineStr">
        <is>
          <t>Bajaj KOO B1H</t>
        </is>
      </c>
      <c r="D230" s="23" t="inlineStr">
        <is>
          <t>KOOB1H</t>
        </is>
      </c>
      <c r="H230" s="23" t="n">
        <v>240000</v>
      </c>
      <c r="I230" s="23" t="n">
        <v>240000</v>
      </c>
      <c r="J230" s="23" t="inlineStr">
        <is>
          <t>efectivo</t>
        </is>
      </c>
    </row>
    <row r="231" hidden="1" customFormat="1" s="23">
      <c r="A231" s="38" t="n">
        <v>46078</v>
      </c>
      <c r="B231" s="23" t="inlineStr">
        <is>
          <t>Jorge Luis Reyes</t>
        </is>
      </c>
      <c r="C231" s="23" t="inlineStr">
        <is>
          <t>Bajaj KOO B1H</t>
        </is>
      </c>
      <c r="D231" s="23" t="inlineStr">
        <is>
          <t>KOOB1H</t>
        </is>
      </c>
      <c r="H231" s="23" t="n">
        <v>240000</v>
      </c>
      <c r="I231" s="23" t="n">
        <v>240000</v>
      </c>
      <c r="J231" s="23" t="inlineStr">
        <is>
          <t>efectivo</t>
        </is>
      </c>
    </row>
    <row r="232" hidden="1" customFormat="1" s="23">
      <c r="A232" s="38" t="n">
        <v>46086</v>
      </c>
      <c r="B232" s="23" t="inlineStr">
        <is>
          <t>Jorge Luis Reyes</t>
        </is>
      </c>
      <c r="C232" s="23" t="inlineStr">
        <is>
          <t>Bajaj KOO B1H</t>
        </is>
      </c>
      <c r="D232" s="23" t="inlineStr">
        <is>
          <t>KOOB1H</t>
        </is>
      </c>
      <c r="H232" s="23" t="n">
        <v>240000</v>
      </c>
      <c r="I232" s="23" t="n">
        <v>240000</v>
      </c>
      <c r="J232" s="23" t="inlineStr">
        <is>
          <t>efectivo</t>
        </is>
      </c>
    </row>
    <row r="233" hidden="1" customFormat="1" s="23">
      <c r="A233" s="38" t="n">
        <v>46094</v>
      </c>
      <c r="B233" s="23" t="inlineStr">
        <is>
          <t>Jorge Luis Reyes</t>
        </is>
      </c>
      <c r="C233" s="23" t="inlineStr">
        <is>
          <t>Bajaj KOO B1H</t>
        </is>
      </c>
      <c r="D233" s="23" t="inlineStr">
        <is>
          <t>KOOB1H</t>
        </is>
      </c>
      <c r="H233" s="23" t="n">
        <v>240000</v>
      </c>
      <c r="I233" s="23" t="n">
        <v>240000</v>
      </c>
      <c r="J233" s="23" t="inlineStr">
        <is>
          <t>efectivo</t>
        </is>
      </c>
    </row>
    <row r="234" hidden="1" customFormat="1" s="23">
      <c r="A234" s="38" t="n">
        <v>46102</v>
      </c>
      <c r="B234" s="23" t="inlineStr">
        <is>
          <t>Jorge Luis Reyes</t>
        </is>
      </c>
      <c r="C234" s="23" t="inlineStr">
        <is>
          <t>Bajaj KOO B1H</t>
        </is>
      </c>
      <c r="D234" s="23" t="inlineStr">
        <is>
          <t>KOOB1H</t>
        </is>
      </c>
      <c r="H234" s="23" t="n">
        <v>240000</v>
      </c>
      <c r="I234" s="23" t="n">
        <v>240000</v>
      </c>
      <c r="J234" s="23" t="inlineStr">
        <is>
          <t>efectivo</t>
        </is>
      </c>
    </row>
    <row r="235" hidden="1" customFormat="1" s="23">
      <c r="A235" s="38" t="n">
        <v>46110</v>
      </c>
      <c r="B235" s="23" t="inlineStr">
        <is>
          <t>Jorge Luis Reyes</t>
        </is>
      </c>
      <c r="C235" s="23" t="inlineStr">
        <is>
          <t>Bajaj KOO B1H</t>
        </is>
      </c>
      <c r="D235" s="23" t="inlineStr">
        <is>
          <t>KOOB1H</t>
        </is>
      </c>
      <c r="H235" s="23" t="n">
        <v>240000</v>
      </c>
      <c r="I235" s="23" t="n">
        <v>240000</v>
      </c>
      <c r="J235" s="23" t="inlineStr">
        <is>
          <t>efectivo</t>
        </is>
      </c>
    </row>
    <row r="236" hidden="1" customFormat="1" s="23">
      <c r="A236" s="38" t="n">
        <v>46118</v>
      </c>
      <c r="B236" s="23" t="inlineStr">
        <is>
          <t>Jorge Luis Reyes</t>
        </is>
      </c>
      <c r="C236" s="23" t="inlineStr">
        <is>
          <t>Bajaj KOO B1H</t>
        </is>
      </c>
      <c r="D236" s="23" t="inlineStr">
        <is>
          <t>KOOB1H</t>
        </is>
      </c>
      <c r="H236" s="23" t="n">
        <v>240000</v>
      </c>
      <c r="I236" s="23" t="n">
        <v>240000</v>
      </c>
      <c r="J236" s="23" t="inlineStr">
        <is>
          <t>efectivo</t>
        </is>
      </c>
    </row>
    <row r="237" hidden="1" customFormat="1" s="23">
      <c r="A237" s="38" t="n">
        <v>46120</v>
      </c>
      <c r="B237" s="23" t="inlineStr">
        <is>
          <t>Jorge Luis Reyes</t>
        </is>
      </c>
      <c r="C237" s="23" t="inlineStr">
        <is>
          <t>Bajaj KOO B1H</t>
        </is>
      </c>
      <c r="D237" s="23" t="inlineStr">
        <is>
          <t>KOOB1H</t>
        </is>
      </c>
      <c r="H237" s="23" t="n">
        <v>240000</v>
      </c>
      <c r="I237" s="23" t="n">
        <v>240000</v>
      </c>
      <c r="J237" s="23" t="inlineStr">
        <is>
          <t>efectivo</t>
        </is>
      </c>
    </row>
    <row r="238" hidden="1" customFormat="1" s="23">
      <c r="A238" s="38" t="n">
        <v>46128</v>
      </c>
      <c r="B238" s="23" t="inlineStr">
        <is>
          <t>Jorge Luis Reyes</t>
        </is>
      </c>
      <c r="C238" s="23" t="inlineStr">
        <is>
          <t>Bajaj KOO B1H</t>
        </is>
      </c>
      <c r="D238" s="23" t="inlineStr">
        <is>
          <t>KOOB1H</t>
        </is>
      </c>
      <c r="H238" s="23" t="n">
        <v>240000</v>
      </c>
      <c r="I238" s="23" t="n">
        <v>240000</v>
      </c>
      <c r="J238" s="23" t="inlineStr">
        <is>
          <t>efectivo</t>
        </is>
      </c>
    </row>
    <row r="239" hidden="1" customFormat="1" s="23">
      <c r="A239" s="38" t="n">
        <v>46136</v>
      </c>
      <c r="B239" s="23" t="inlineStr">
        <is>
          <t>Jorge Luis Reyes</t>
        </is>
      </c>
      <c r="C239" s="23" t="inlineStr">
        <is>
          <t>Bajaj KOO B1H</t>
        </is>
      </c>
      <c r="D239" s="23" t="inlineStr">
        <is>
          <t>KOOB1H</t>
        </is>
      </c>
      <c r="H239" s="23" t="n">
        <v>240000</v>
      </c>
      <c r="I239" s="23" t="n">
        <v>240000</v>
      </c>
      <c r="J239" s="23" t="inlineStr">
        <is>
          <t>efectivo</t>
        </is>
      </c>
    </row>
    <row r="240" hidden="1" customFormat="1" s="23">
      <c r="A240" s="38" t="n">
        <v>46151</v>
      </c>
      <c r="B240" s="23" t="inlineStr">
        <is>
          <t>Jorge Luis Reyes</t>
        </is>
      </c>
      <c r="C240" s="23" t="inlineStr">
        <is>
          <t>Bajaj KOO B1H</t>
        </is>
      </c>
      <c r="D240" s="23" t="inlineStr">
        <is>
          <t>KOOB1H</t>
        </is>
      </c>
      <c r="H240" s="23" t="n">
        <v>240000</v>
      </c>
      <c r="I240" s="23" t="n">
        <v>240000</v>
      </c>
      <c r="J240" s="23" t="inlineStr">
        <is>
          <t>efectivo</t>
        </is>
      </c>
    </row>
    <row r="241" hidden="1" customFormat="1" s="23">
      <c r="A241" s="38" t="n">
        <v>46154</v>
      </c>
      <c r="B241" s="23" t="inlineStr">
        <is>
          <t>Jorge Luis Reyes</t>
        </is>
      </c>
      <c r="C241" s="23" t="inlineStr">
        <is>
          <t>Bajaj KOO B1H</t>
        </is>
      </c>
      <c r="D241" s="23" t="inlineStr">
        <is>
          <t>KOOB1H</t>
        </is>
      </c>
      <c r="H241" s="23" t="n">
        <v>240000</v>
      </c>
      <c r="I241" s="23" t="n">
        <v>240000</v>
      </c>
      <c r="J241" s="23" t="inlineStr">
        <is>
          <t>efectivo</t>
        </is>
      </c>
    </row>
    <row r="242" hidden="1" customFormat="1" s="23">
      <c r="A242" s="38" t="n">
        <v>46162</v>
      </c>
      <c r="B242" s="23" t="inlineStr">
        <is>
          <t>Jorge Luis Reyes</t>
        </is>
      </c>
      <c r="C242" s="23" t="inlineStr">
        <is>
          <t>Bajaj KOO B1H</t>
        </is>
      </c>
      <c r="D242" s="23" t="inlineStr">
        <is>
          <t>KOOB1H</t>
        </is>
      </c>
      <c r="H242" s="23" t="n">
        <v>240000</v>
      </c>
      <c r="I242" s="23" t="n">
        <v>240000</v>
      </c>
      <c r="J242" s="23" t="inlineStr">
        <is>
          <t>efectivo</t>
        </is>
      </c>
    </row>
    <row r="243" hidden="1" customFormat="1" s="23">
      <c r="A243" s="38" t="n">
        <v>46176</v>
      </c>
      <c r="B243" s="23" t="inlineStr">
        <is>
          <t>Jorge Luis Reyes</t>
        </is>
      </c>
      <c r="C243" s="23" t="inlineStr">
        <is>
          <t>Bajaj KOO B1H</t>
        </is>
      </c>
      <c r="D243" s="23" t="inlineStr">
        <is>
          <t>KOOB1H</t>
        </is>
      </c>
      <c r="H243" s="23" t="n">
        <v>240000</v>
      </c>
      <c r="I243" s="23" t="n">
        <v>240000</v>
      </c>
      <c r="J243" s="23" t="inlineStr">
        <is>
          <t>efectivo</t>
        </is>
      </c>
    </row>
    <row r="244" hidden="1" customFormat="1" s="23">
      <c r="A244" s="38" t="n">
        <v>46221</v>
      </c>
      <c r="B244" s="23" t="inlineStr">
        <is>
          <t>Henry Junior</t>
        </is>
      </c>
      <c r="C244" s="23" t="inlineStr">
        <is>
          <t>Bajaj UYL 39H</t>
        </is>
      </c>
      <c r="D244" s="23" t="inlineStr">
        <is>
          <t>UYL39H</t>
        </is>
      </c>
      <c r="H244" s="23" t="n">
        <v>240000</v>
      </c>
      <c r="I244" s="23" t="n">
        <v>240000</v>
      </c>
      <c r="J244" s="23" t="inlineStr">
        <is>
          <t>efectivo</t>
        </is>
      </c>
    </row>
    <row r="245" hidden="1" customFormat="1" s="23">
      <c r="A245" s="38" t="n">
        <v>46230</v>
      </c>
      <c r="B245" s="23" t="inlineStr">
        <is>
          <t>Henry Junior</t>
        </is>
      </c>
      <c r="C245" s="23" t="inlineStr">
        <is>
          <t>Bajaj UYL 39H</t>
        </is>
      </c>
      <c r="D245" s="23" t="inlineStr">
        <is>
          <t>UYL39H</t>
        </is>
      </c>
      <c r="H245" s="23" t="n">
        <v>240000</v>
      </c>
      <c r="I245" s="23" t="n">
        <v>240000</v>
      </c>
      <c r="J245" s="23" t="inlineStr">
        <is>
          <t>efectivo</t>
        </is>
      </c>
    </row>
    <row r="246" hidden="1" customFormat="1" s="23">
      <c r="A246" s="38" t="n">
        <v>46238</v>
      </c>
      <c r="B246" s="23" t="inlineStr">
        <is>
          <t>Henry Junior</t>
        </is>
      </c>
      <c r="C246" s="23" t="inlineStr">
        <is>
          <t>Bajaj UYL 39H</t>
        </is>
      </c>
      <c r="D246" s="23" t="inlineStr">
        <is>
          <t>UYL39H</t>
        </is>
      </c>
      <c r="H246" s="23" t="n">
        <v>240000</v>
      </c>
      <c r="I246" s="23" t="n">
        <v>240000</v>
      </c>
      <c r="J246" s="23" t="inlineStr">
        <is>
          <t>efectivo</t>
        </is>
      </c>
    </row>
    <row r="247" hidden="1" customFormat="1" s="23">
      <c r="A247" s="38" t="n">
        <v>45707</v>
      </c>
      <c r="B247" s="23" t="inlineStr">
        <is>
          <t>Duvan Enrique</t>
        </is>
      </c>
      <c r="C247" s="23" t="inlineStr">
        <is>
          <t>Bajaj KEB 58H</t>
        </is>
      </c>
      <c r="D247" s="23" t="inlineStr">
        <is>
          <t>KEB58H</t>
        </is>
      </c>
      <c r="H247" s="23" t="n">
        <v>240000</v>
      </c>
      <c r="I247" s="23" t="n">
        <v>240000</v>
      </c>
      <c r="J247" s="23" t="inlineStr">
        <is>
          <t>efectivo</t>
        </is>
      </c>
    </row>
    <row r="248" hidden="1" customFormat="1" s="23">
      <c r="A248" s="38" t="n">
        <v>45714</v>
      </c>
      <c r="B248" s="23" t="inlineStr">
        <is>
          <t>Duvan Enrique</t>
        </is>
      </c>
      <c r="C248" s="23" t="inlineStr">
        <is>
          <t>Bajaj KEB 58H</t>
        </is>
      </c>
      <c r="D248" s="23" t="inlineStr">
        <is>
          <t>KEB58H</t>
        </is>
      </c>
      <c r="H248" s="23" t="n">
        <v>240000</v>
      </c>
      <c r="I248" s="23" t="n">
        <v>240000</v>
      </c>
      <c r="J248" s="23" t="inlineStr">
        <is>
          <t>efectivo</t>
        </is>
      </c>
    </row>
    <row r="249" hidden="1" customFormat="1" s="23">
      <c r="A249" s="38" t="n">
        <v>45728</v>
      </c>
      <c r="B249" s="23" t="inlineStr">
        <is>
          <t>Duvan Enrique</t>
        </is>
      </c>
      <c r="C249" s="23" t="inlineStr">
        <is>
          <t>Bajaj KEB 58H</t>
        </is>
      </c>
      <c r="D249" s="23" t="inlineStr">
        <is>
          <t>KEB58H</t>
        </is>
      </c>
      <c r="H249" s="23" t="n">
        <v>240000</v>
      </c>
      <c r="I249" s="23" t="n">
        <v>240000</v>
      </c>
      <c r="J249" s="23" t="inlineStr">
        <is>
          <t>efectivo</t>
        </is>
      </c>
    </row>
    <row r="250" hidden="1" customFormat="1" s="23">
      <c r="A250" s="38" t="n">
        <v>45735</v>
      </c>
      <c r="B250" s="23" t="inlineStr">
        <is>
          <t>Duvan Enrique</t>
        </is>
      </c>
      <c r="C250" s="23" t="inlineStr">
        <is>
          <t>Bajaj KEB 58H</t>
        </is>
      </c>
      <c r="D250" s="23" t="inlineStr">
        <is>
          <t>KEB58H</t>
        </is>
      </c>
      <c r="H250" s="23" t="n">
        <v>240000</v>
      </c>
      <c r="I250" s="23" t="n">
        <v>240000</v>
      </c>
      <c r="J250" s="23" t="inlineStr">
        <is>
          <t>efectivo</t>
        </is>
      </c>
    </row>
    <row r="251" hidden="1" customFormat="1" s="23">
      <c r="A251" s="38" t="n">
        <v>45742</v>
      </c>
      <c r="B251" s="23" t="inlineStr">
        <is>
          <t>Duvan Enrique</t>
        </is>
      </c>
      <c r="C251" s="23" t="inlineStr">
        <is>
          <t>Bajaj KEB 58H</t>
        </is>
      </c>
      <c r="D251" s="23" t="inlineStr">
        <is>
          <t>KEB58H</t>
        </is>
      </c>
      <c r="H251" s="23" t="n">
        <v>240000</v>
      </c>
      <c r="I251" s="23" t="n">
        <v>240000</v>
      </c>
      <c r="J251" s="23" t="inlineStr">
        <is>
          <t>efectivo</t>
        </is>
      </c>
    </row>
    <row r="252" hidden="1" customFormat="1" s="23">
      <c r="A252" s="38" t="n">
        <v>45749</v>
      </c>
      <c r="B252" s="23" t="inlineStr">
        <is>
          <t>Duvan Enrique</t>
        </is>
      </c>
      <c r="C252" s="23" t="inlineStr">
        <is>
          <t>Bajaj KEB 58H</t>
        </is>
      </c>
      <c r="D252" s="23" t="inlineStr">
        <is>
          <t>KEB58H</t>
        </is>
      </c>
      <c r="H252" s="23" t="n">
        <v>240000</v>
      </c>
      <c r="I252" s="23" t="n">
        <v>240000</v>
      </c>
      <c r="J252" s="23" t="inlineStr">
        <is>
          <t>efectivo</t>
        </is>
      </c>
    </row>
    <row r="253" hidden="1" customFormat="1" s="23">
      <c r="A253" s="38" t="n">
        <v>45756</v>
      </c>
      <c r="B253" s="23" t="inlineStr">
        <is>
          <t>Duvan Enrique</t>
        </is>
      </c>
      <c r="C253" s="23" t="inlineStr">
        <is>
          <t>Bajaj KEB 58H</t>
        </is>
      </c>
      <c r="D253" s="23" t="inlineStr">
        <is>
          <t>KEB58H</t>
        </is>
      </c>
      <c r="H253" s="23" t="n">
        <v>240000</v>
      </c>
      <c r="I253" s="23" t="n">
        <v>240000</v>
      </c>
      <c r="J253" s="23" t="inlineStr">
        <is>
          <t>efectivo</t>
        </is>
      </c>
    </row>
    <row r="254" hidden="1" customFormat="1" s="23">
      <c r="A254" s="38" t="n">
        <v>45763</v>
      </c>
      <c r="B254" s="23" t="inlineStr">
        <is>
          <t>Duvan Enrique</t>
        </is>
      </c>
      <c r="C254" s="23" t="inlineStr">
        <is>
          <t>Bajaj KEB 58H</t>
        </is>
      </c>
      <c r="D254" s="23" t="inlineStr">
        <is>
          <t>KEB58H</t>
        </is>
      </c>
      <c r="H254" s="23" t="n">
        <v>240000</v>
      </c>
      <c r="I254" s="23" t="n">
        <v>240000</v>
      </c>
      <c r="J254" s="23" t="inlineStr">
        <is>
          <t>efectivo</t>
        </is>
      </c>
    </row>
    <row r="255" hidden="1" customFormat="1" s="23">
      <c r="A255" s="38" t="n">
        <v>45770</v>
      </c>
      <c r="B255" s="23" t="inlineStr">
        <is>
          <t>Duvan Enrique</t>
        </is>
      </c>
      <c r="C255" s="23" t="inlineStr">
        <is>
          <t>Bajaj KEB 58H</t>
        </is>
      </c>
      <c r="D255" s="23" t="inlineStr">
        <is>
          <t>KEB58H</t>
        </is>
      </c>
      <c r="H255" s="23" t="n">
        <v>240000</v>
      </c>
      <c r="I255" s="23" t="n">
        <v>240000</v>
      </c>
      <c r="J255" s="23" t="inlineStr">
        <is>
          <t>efectivo</t>
        </is>
      </c>
    </row>
    <row r="256" hidden="1" customFormat="1" s="23">
      <c r="A256" s="38" t="n">
        <v>45778</v>
      </c>
      <c r="B256" s="23" t="inlineStr">
        <is>
          <t>Duvan Enrique</t>
        </is>
      </c>
      <c r="C256" s="23" t="inlineStr">
        <is>
          <t>Bajaj KEB 58H</t>
        </is>
      </c>
      <c r="D256" s="23" t="inlineStr">
        <is>
          <t>KEB58H</t>
        </is>
      </c>
      <c r="H256" s="23" t="n">
        <v>240000</v>
      </c>
      <c r="I256" s="23" t="n">
        <v>240000</v>
      </c>
      <c r="J256" s="23" t="inlineStr">
        <is>
          <t>efectivo</t>
        </is>
      </c>
    </row>
    <row r="257" hidden="1" customFormat="1" s="23">
      <c r="A257" s="38" t="n">
        <v>45784</v>
      </c>
      <c r="B257" s="23" t="inlineStr">
        <is>
          <t>Duvan Enrique</t>
        </is>
      </c>
      <c r="C257" s="23" t="inlineStr">
        <is>
          <t>Bajaj KEB 58H</t>
        </is>
      </c>
      <c r="D257" s="23" t="inlineStr">
        <is>
          <t>KEB58H</t>
        </is>
      </c>
      <c r="H257" s="23" t="n">
        <v>240000</v>
      </c>
      <c r="I257" s="23" t="n">
        <v>240000</v>
      </c>
      <c r="J257" s="23" t="inlineStr">
        <is>
          <t>efectivo</t>
        </is>
      </c>
    </row>
    <row r="258" hidden="1" customFormat="1" s="23">
      <c r="A258" s="38" t="n">
        <v>45792</v>
      </c>
      <c r="B258" s="23" t="inlineStr">
        <is>
          <t>Duvan Enrique</t>
        </is>
      </c>
      <c r="C258" s="23" t="inlineStr">
        <is>
          <t>Bajaj KEB 58H</t>
        </is>
      </c>
      <c r="D258" s="23" t="inlineStr">
        <is>
          <t>KEB58H</t>
        </is>
      </c>
      <c r="H258" s="23" t="n">
        <v>240000</v>
      </c>
      <c r="I258" s="23" t="n">
        <v>240000</v>
      </c>
      <c r="J258" s="23" t="inlineStr">
        <is>
          <t>efectivo</t>
        </is>
      </c>
    </row>
    <row r="259" hidden="1" customFormat="1" s="23">
      <c r="A259" s="38" t="n">
        <v>45798</v>
      </c>
      <c r="B259" s="23" t="inlineStr">
        <is>
          <t>Duvan Enrique</t>
        </is>
      </c>
      <c r="C259" s="23" t="inlineStr">
        <is>
          <t>Bajaj KEB 58H</t>
        </is>
      </c>
      <c r="D259" s="23" t="inlineStr">
        <is>
          <t>KEB58H</t>
        </is>
      </c>
      <c r="H259" s="23" t="n">
        <v>240000</v>
      </c>
      <c r="I259" s="23" t="n">
        <v>240000</v>
      </c>
      <c r="J259" s="23" t="inlineStr">
        <is>
          <t>efectivo</t>
        </is>
      </c>
    </row>
    <row r="260" hidden="1" customFormat="1" s="23">
      <c r="A260" s="38" t="n">
        <v>45805</v>
      </c>
      <c r="B260" s="23" t="inlineStr">
        <is>
          <t>Duvan Enrique</t>
        </is>
      </c>
      <c r="C260" s="23" t="inlineStr">
        <is>
          <t>Bajaj KEB 58H</t>
        </is>
      </c>
      <c r="D260" s="23" t="inlineStr">
        <is>
          <t>KEB58H</t>
        </is>
      </c>
      <c r="H260" s="23" t="n">
        <v>240000</v>
      </c>
      <c r="I260" s="23" t="n">
        <v>240000</v>
      </c>
      <c r="J260" s="23" t="inlineStr">
        <is>
          <t>efectivo</t>
        </is>
      </c>
    </row>
    <row r="261" hidden="1" customFormat="1" s="23">
      <c r="A261" s="38" t="n">
        <v>45812</v>
      </c>
      <c r="B261" s="23" t="inlineStr">
        <is>
          <t>Duvan Enrique</t>
        </is>
      </c>
      <c r="C261" s="23" t="inlineStr">
        <is>
          <t>Bajaj KEB 58H</t>
        </is>
      </c>
      <c r="D261" s="23" t="inlineStr">
        <is>
          <t>KEB58H</t>
        </is>
      </c>
      <c r="H261" s="23" t="n">
        <v>240000</v>
      </c>
      <c r="I261" s="23" t="n">
        <v>240000</v>
      </c>
      <c r="J261" s="23" t="inlineStr">
        <is>
          <t>efectivo</t>
        </is>
      </c>
    </row>
    <row r="262" hidden="1" customFormat="1" s="23">
      <c r="A262" s="38" t="n">
        <v>45819</v>
      </c>
      <c r="B262" s="23" t="inlineStr">
        <is>
          <t>Duvan Enrique</t>
        </is>
      </c>
      <c r="C262" s="23" t="inlineStr">
        <is>
          <t>Bajaj KEB 58H</t>
        </is>
      </c>
      <c r="D262" s="23" t="inlineStr">
        <is>
          <t>KEB58H</t>
        </is>
      </c>
      <c r="H262" s="23" t="n">
        <v>240000</v>
      </c>
      <c r="I262" s="23" t="n">
        <v>240000</v>
      </c>
      <c r="J262" s="23" t="inlineStr">
        <is>
          <t>efectivo</t>
        </is>
      </c>
    </row>
    <row r="263" hidden="1" customFormat="1" s="23">
      <c r="A263" s="38" t="n">
        <v>45827</v>
      </c>
      <c r="B263" s="23" t="inlineStr">
        <is>
          <t>Duvan Enrique</t>
        </is>
      </c>
      <c r="C263" s="23" t="inlineStr">
        <is>
          <t>Bajaj KEB 58H</t>
        </is>
      </c>
      <c r="D263" s="23" t="inlineStr">
        <is>
          <t>KEB58H</t>
        </is>
      </c>
      <c r="H263" s="23" t="n">
        <v>240000</v>
      </c>
      <c r="I263" s="23" t="n">
        <v>240000</v>
      </c>
      <c r="J263" s="23" t="inlineStr">
        <is>
          <t>efectivo</t>
        </is>
      </c>
    </row>
    <row r="264" hidden="1" customFormat="1" s="23">
      <c r="A264" s="38" t="n">
        <v>45833</v>
      </c>
      <c r="B264" s="23" t="inlineStr">
        <is>
          <t>Duvan Enrique</t>
        </is>
      </c>
      <c r="C264" s="23" t="inlineStr">
        <is>
          <t>Bajaj KEB 58H</t>
        </is>
      </c>
      <c r="D264" s="23" t="inlineStr">
        <is>
          <t>KEB58H</t>
        </is>
      </c>
      <c r="H264" s="23" t="n">
        <v>240000</v>
      </c>
      <c r="I264" s="23" t="n">
        <v>240000</v>
      </c>
      <c r="J264" s="23" t="inlineStr">
        <is>
          <t>efectivo</t>
        </is>
      </c>
    </row>
    <row r="265" hidden="1" customFormat="1" s="23">
      <c r="A265" s="38" t="n">
        <v>45841</v>
      </c>
      <c r="B265" s="23" t="inlineStr">
        <is>
          <t>Duvan Enrique</t>
        </is>
      </c>
      <c r="C265" s="23" t="inlineStr">
        <is>
          <t>Bajaj KEB 58H</t>
        </is>
      </c>
      <c r="D265" s="23" t="inlineStr">
        <is>
          <t>KEB58H</t>
        </is>
      </c>
      <c r="H265" s="23" t="n">
        <v>240000</v>
      </c>
      <c r="I265" s="23" t="n">
        <v>240000</v>
      </c>
      <c r="J265" s="23" t="inlineStr">
        <is>
          <t>efectivo</t>
        </is>
      </c>
    </row>
    <row r="266" hidden="1" customFormat="1" s="23">
      <c r="A266" s="38" t="n">
        <v>45849</v>
      </c>
      <c r="B266" s="23" t="inlineStr">
        <is>
          <t>Duvan Enrique</t>
        </is>
      </c>
      <c r="C266" s="23" t="inlineStr">
        <is>
          <t>Bajaj KEB 58H</t>
        </is>
      </c>
      <c r="D266" s="23" t="inlineStr">
        <is>
          <t>KEB58H</t>
        </is>
      </c>
      <c r="H266" s="23" t="n">
        <v>240000</v>
      </c>
      <c r="I266" s="23" t="n">
        <v>240000</v>
      </c>
      <c r="J266" s="23" t="inlineStr">
        <is>
          <t>efectivo</t>
        </is>
      </c>
    </row>
    <row r="267" hidden="1" customFormat="1" s="23">
      <c r="A267" s="38" t="n">
        <v>45854</v>
      </c>
      <c r="B267" s="23" t="inlineStr">
        <is>
          <t>Duvan Enrique</t>
        </is>
      </c>
      <c r="C267" s="23" t="inlineStr">
        <is>
          <t>Bajaj KEB 58H</t>
        </is>
      </c>
      <c r="D267" s="23" t="inlineStr">
        <is>
          <t>KEB58H</t>
        </is>
      </c>
      <c r="H267" s="23" t="n">
        <v>240000</v>
      </c>
      <c r="I267" s="23" t="n">
        <v>240000</v>
      </c>
      <c r="J267" s="23" t="inlineStr">
        <is>
          <t>efectivo</t>
        </is>
      </c>
    </row>
    <row r="268" hidden="1" customFormat="1" s="23">
      <c r="A268" s="38" t="n">
        <v>45862</v>
      </c>
      <c r="B268" s="23" t="inlineStr">
        <is>
          <t>Duvan Enrique</t>
        </is>
      </c>
      <c r="C268" s="23" t="inlineStr">
        <is>
          <t>Bajaj KEB 58H</t>
        </is>
      </c>
      <c r="D268" s="23" t="inlineStr">
        <is>
          <t>KEB58H</t>
        </is>
      </c>
      <c r="H268" s="23" t="n">
        <v>240000</v>
      </c>
      <c r="I268" s="23" t="n">
        <v>240000</v>
      </c>
      <c r="J268" s="23" t="inlineStr">
        <is>
          <t>efectivo</t>
        </is>
      </c>
    </row>
    <row r="269" hidden="1" customFormat="1" s="23">
      <c r="A269" s="38" t="n">
        <v>45868</v>
      </c>
      <c r="B269" s="23" t="inlineStr">
        <is>
          <t>Duvan Enrique</t>
        </is>
      </c>
      <c r="C269" s="23" t="inlineStr">
        <is>
          <t>Bajaj KEB 58H</t>
        </is>
      </c>
      <c r="D269" s="23" t="inlineStr">
        <is>
          <t>KEB58H</t>
        </is>
      </c>
      <c r="H269" s="23" t="n">
        <v>240000</v>
      </c>
      <c r="I269" s="23" t="n">
        <v>240000</v>
      </c>
      <c r="J269" s="23" t="inlineStr">
        <is>
          <t>efectivo</t>
        </is>
      </c>
    </row>
    <row r="270" hidden="1" customFormat="1" s="23">
      <c r="A270" s="38" t="n">
        <v>45876</v>
      </c>
      <c r="B270" s="23" t="inlineStr">
        <is>
          <t>Duvan Enrique</t>
        </is>
      </c>
      <c r="C270" s="23" t="inlineStr">
        <is>
          <t>Bajaj KEB 58H</t>
        </is>
      </c>
      <c r="D270" s="23" t="inlineStr">
        <is>
          <t>KEB58H</t>
        </is>
      </c>
      <c r="H270" s="23" t="n">
        <v>240000</v>
      </c>
      <c r="I270" s="23" t="n">
        <v>240000</v>
      </c>
      <c r="J270" s="23" t="inlineStr">
        <is>
          <t>efectivo</t>
        </is>
      </c>
    </row>
    <row r="271" hidden="1" customFormat="1" s="23">
      <c r="A271" s="38" t="n">
        <v>45883</v>
      </c>
      <c r="B271" s="23" t="inlineStr">
        <is>
          <t>Duvan Enrique</t>
        </is>
      </c>
      <c r="C271" s="23" t="inlineStr">
        <is>
          <t>Bajaj KEB 58H</t>
        </is>
      </c>
      <c r="D271" s="23" t="inlineStr">
        <is>
          <t>KEB58H</t>
        </is>
      </c>
      <c r="H271" s="23" t="n">
        <v>240000</v>
      </c>
      <c r="I271" s="23" t="n">
        <v>240000</v>
      </c>
      <c r="J271" s="23" t="inlineStr">
        <is>
          <t>efectivo</t>
        </is>
      </c>
    </row>
    <row r="272" hidden="1" customFormat="1" s="23">
      <c r="A272" s="38" t="n">
        <v>45890</v>
      </c>
      <c r="B272" s="23" t="inlineStr">
        <is>
          <t>Duvan Enrique</t>
        </is>
      </c>
      <c r="C272" s="23" t="inlineStr">
        <is>
          <t>Bajaj KEB 58H</t>
        </is>
      </c>
      <c r="D272" s="23" t="inlineStr">
        <is>
          <t>KEB58H</t>
        </is>
      </c>
      <c r="H272" s="23" t="n">
        <v>240000</v>
      </c>
      <c r="I272" s="23" t="n">
        <v>240000</v>
      </c>
      <c r="J272" s="23" t="inlineStr">
        <is>
          <t>efectivo</t>
        </is>
      </c>
    </row>
    <row r="273" hidden="1" customFormat="1" s="23">
      <c r="A273" s="38" t="n">
        <v>45897</v>
      </c>
      <c r="B273" s="23" t="inlineStr">
        <is>
          <t>Duvan Enrique</t>
        </is>
      </c>
      <c r="C273" s="23" t="inlineStr">
        <is>
          <t>Bajaj KEB 58H</t>
        </is>
      </c>
      <c r="D273" s="23" t="inlineStr">
        <is>
          <t>KEB58H</t>
        </is>
      </c>
      <c r="H273" s="23" t="n">
        <v>240000</v>
      </c>
      <c r="I273" s="23" t="n">
        <v>240000</v>
      </c>
      <c r="J273" s="23" t="inlineStr">
        <is>
          <t>efectivo</t>
        </is>
      </c>
    </row>
    <row r="274" hidden="1" customFormat="1" s="23">
      <c r="A274" s="38" t="n">
        <v>45925</v>
      </c>
      <c r="B274" s="23" t="inlineStr">
        <is>
          <t>Duvan Enrique</t>
        </is>
      </c>
      <c r="C274" s="23" t="inlineStr">
        <is>
          <t>Bajaj KEB 58H</t>
        </is>
      </c>
      <c r="D274" s="23" t="inlineStr">
        <is>
          <t>KEB58H</t>
        </is>
      </c>
      <c r="H274" s="23" t="n">
        <v>240000</v>
      </c>
      <c r="I274" s="23" t="n">
        <v>240000</v>
      </c>
      <c r="J274" s="23" t="inlineStr">
        <is>
          <t>efectivo</t>
        </is>
      </c>
    </row>
    <row r="275" hidden="1" customFormat="1" s="23">
      <c r="A275" s="38" t="n">
        <v>45931</v>
      </c>
      <c r="B275" s="23" t="inlineStr">
        <is>
          <t>Duvan Enrique</t>
        </is>
      </c>
      <c r="C275" s="23" t="inlineStr">
        <is>
          <t>Bajaj KEB 58H</t>
        </is>
      </c>
      <c r="D275" s="23" t="inlineStr">
        <is>
          <t>KEB58H</t>
        </is>
      </c>
      <c r="H275" s="23" t="n">
        <v>240000</v>
      </c>
      <c r="I275" s="23" t="n">
        <v>240000</v>
      </c>
      <c r="J275" s="23" t="inlineStr">
        <is>
          <t>efectivo</t>
        </is>
      </c>
    </row>
    <row r="276" hidden="1" customFormat="1" s="23">
      <c r="A276" s="38" t="n">
        <v>45938</v>
      </c>
      <c r="B276" s="23" t="inlineStr">
        <is>
          <t>Duvan Enrique</t>
        </is>
      </c>
      <c r="C276" s="23" t="inlineStr">
        <is>
          <t>Bajaj KEB 58H</t>
        </is>
      </c>
      <c r="D276" s="23" t="inlineStr">
        <is>
          <t>KEB58H</t>
        </is>
      </c>
      <c r="H276" s="23" t="n">
        <v>240000</v>
      </c>
      <c r="I276" s="23" t="n">
        <v>240000</v>
      </c>
      <c r="J276" s="23" t="inlineStr">
        <is>
          <t>efectivo</t>
        </is>
      </c>
    </row>
    <row r="277" hidden="1" customFormat="1" s="23">
      <c r="A277" s="38" t="n">
        <v>45945</v>
      </c>
      <c r="B277" s="23" t="inlineStr">
        <is>
          <t>Duvan Enrique</t>
        </is>
      </c>
      <c r="C277" s="23" t="inlineStr">
        <is>
          <t>Bajaj KEB 58H</t>
        </is>
      </c>
      <c r="D277" s="23" t="inlineStr">
        <is>
          <t>KEB58H</t>
        </is>
      </c>
      <c r="H277" s="23" t="n">
        <v>240000</v>
      </c>
      <c r="I277" s="23" t="n">
        <v>240000</v>
      </c>
      <c r="J277" s="23" t="inlineStr">
        <is>
          <t>efectivo</t>
        </is>
      </c>
    </row>
    <row r="278" hidden="1" customFormat="1" s="23">
      <c r="A278" s="38" t="n">
        <v>45952</v>
      </c>
      <c r="B278" s="23" t="inlineStr">
        <is>
          <t>Duvan Enrique</t>
        </is>
      </c>
      <c r="C278" s="23" t="inlineStr">
        <is>
          <t>Bajaj KEB 58H</t>
        </is>
      </c>
      <c r="D278" s="23" t="inlineStr">
        <is>
          <t>KEB58H</t>
        </is>
      </c>
      <c r="H278" s="23" t="n">
        <v>240000</v>
      </c>
      <c r="I278" s="23" t="n">
        <v>240000</v>
      </c>
      <c r="J278" s="23" t="inlineStr">
        <is>
          <t>efectivo</t>
        </is>
      </c>
    </row>
    <row r="279" hidden="1" customFormat="1" s="23">
      <c r="A279" s="38" t="n">
        <v>45959</v>
      </c>
      <c r="B279" s="23" t="inlineStr">
        <is>
          <t>Duvan Enrique</t>
        </is>
      </c>
      <c r="C279" s="23" t="inlineStr">
        <is>
          <t>Bajaj KEB 58H</t>
        </is>
      </c>
      <c r="D279" s="23" t="inlineStr">
        <is>
          <t>KEB58H</t>
        </is>
      </c>
      <c r="H279" s="23" t="n">
        <v>240000</v>
      </c>
      <c r="I279" s="23" t="n">
        <v>240000</v>
      </c>
      <c r="J279" s="23" t="inlineStr">
        <is>
          <t>efectivo</t>
        </is>
      </c>
    </row>
    <row r="280" hidden="1" customFormat="1" s="23">
      <c r="A280" s="38" t="n">
        <v>45966</v>
      </c>
      <c r="B280" s="23" t="inlineStr">
        <is>
          <t>Duvan Enrique</t>
        </is>
      </c>
      <c r="C280" s="23" t="inlineStr">
        <is>
          <t>Bajaj KEB 58H</t>
        </is>
      </c>
      <c r="D280" s="23" t="inlineStr">
        <is>
          <t>KEB58H</t>
        </is>
      </c>
      <c r="H280" s="23" t="n">
        <v>240000</v>
      </c>
      <c r="I280" s="23" t="n">
        <v>240000</v>
      </c>
      <c r="J280" s="23" t="inlineStr">
        <is>
          <t>efectivo</t>
        </is>
      </c>
    </row>
    <row r="281" hidden="1" customFormat="1" s="23">
      <c r="A281" s="38" t="n">
        <v>45975</v>
      </c>
      <c r="B281" s="23" t="inlineStr">
        <is>
          <t>Duvan Enrique</t>
        </is>
      </c>
      <c r="C281" s="23" t="inlineStr">
        <is>
          <t>Bajaj KEB 58H</t>
        </is>
      </c>
      <c r="D281" s="23" t="inlineStr">
        <is>
          <t>KEB58H</t>
        </is>
      </c>
      <c r="H281" s="23" t="n">
        <v>240000</v>
      </c>
      <c r="I281" s="23" t="n">
        <v>240000</v>
      </c>
      <c r="J281" s="23" t="inlineStr">
        <is>
          <t>efectivo</t>
        </is>
      </c>
    </row>
    <row r="282" hidden="1" customFormat="1" s="23">
      <c r="A282" s="38" t="n">
        <v>45980</v>
      </c>
      <c r="B282" s="23" t="inlineStr">
        <is>
          <t>Duvan Enrique</t>
        </is>
      </c>
      <c r="C282" s="23" t="inlineStr">
        <is>
          <t>Bajaj KEB 58H</t>
        </is>
      </c>
      <c r="D282" s="23" t="inlineStr">
        <is>
          <t>KEB58H</t>
        </is>
      </c>
      <c r="H282" s="23" t="n">
        <v>240000</v>
      </c>
      <c r="I282" s="23" t="n">
        <v>240000</v>
      </c>
      <c r="J282" s="23" t="inlineStr">
        <is>
          <t>efectivo</t>
        </is>
      </c>
    </row>
    <row r="283" hidden="1" customFormat="1" s="23">
      <c r="A283" s="38" t="n">
        <v>45987</v>
      </c>
      <c r="B283" s="23" t="inlineStr">
        <is>
          <t>Duvan Enrique</t>
        </is>
      </c>
      <c r="C283" s="23" t="inlineStr">
        <is>
          <t>Bajaj KEB 58H</t>
        </is>
      </c>
      <c r="D283" s="23" t="inlineStr">
        <is>
          <t>KEB58H</t>
        </is>
      </c>
      <c r="H283" s="23" t="n">
        <v>240000</v>
      </c>
      <c r="I283" s="23" t="n">
        <v>240000</v>
      </c>
      <c r="J283" s="23" t="inlineStr">
        <is>
          <t>efectivo</t>
        </is>
      </c>
    </row>
    <row r="284" hidden="1" customFormat="1" s="23">
      <c r="A284" s="38" t="n">
        <v>45994</v>
      </c>
      <c r="B284" s="23" t="inlineStr">
        <is>
          <t>Duvan Enrique</t>
        </is>
      </c>
      <c r="C284" s="23" t="inlineStr">
        <is>
          <t>Bajaj KEB 58H</t>
        </is>
      </c>
      <c r="D284" s="23" t="inlineStr">
        <is>
          <t>KEB58H</t>
        </is>
      </c>
      <c r="H284" s="23" t="n">
        <v>240000</v>
      </c>
      <c r="I284" s="23" t="n">
        <v>240000</v>
      </c>
      <c r="J284" s="23" t="inlineStr">
        <is>
          <t>efectivo</t>
        </is>
      </c>
    </row>
    <row r="285" hidden="1" customFormat="1" s="23">
      <c r="A285" s="38" t="n">
        <v>46001</v>
      </c>
      <c r="B285" s="23" t="inlineStr">
        <is>
          <t>Duvan Enrique</t>
        </is>
      </c>
      <c r="C285" s="23" t="inlineStr">
        <is>
          <t>Bajaj KEB 58H</t>
        </is>
      </c>
      <c r="D285" s="23" t="inlineStr">
        <is>
          <t>KEB58H</t>
        </is>
      </c>
      <c r="H285" s="23" t="n">
        <v>240000</v>
      </c>
      <c r="I285" s="23" t="n">
        <v>240000</v>
      </c>
      <c r="J285" s="23" t="inlineStr">
        <is>
          <t>efectivo</t>
        </is>
      </c>
    </row>
    <row r="286" hidden="1" customFormat="1" s="23">
      <c r="A286" s="38" t="n">
        <v>46008</v>
      </c>
      <c r="B286" s="23" t="inlineStr">
        <is>
          <t>Duvan Enrique</t>
        </is>
      </c>
      <c r="C286" s="23" t="inlineStr">
        <is>
          <t>Bajaj KEB 58H</t>
        </is>
      </c>
      <c r="D286" s="23" t="inlineStr">
        <is>
          <t>KEB58H</t>
        </is>
      </c>
      <c r="H286" s="23" t="n">
        <v>240000</v>
      </c>
      <c r="I286" s="23" t="n">
        <v>240000</v>
      </c>
      <c r="J286" s="23" t="inlineStr">
        <is>
          <t>efectivo</t>
        </is>
      </c>
    </row>
    <row r="287" hidden="1" customFormat="1" s="23">
      <c r="A287" s="38" t="n">
        <v>46015</v>
      </c>
      <c r="B287" s="23" t="inlineStr">
        <is>
          <t>Duvan Enrique</t>
        </is>
      </c>
      <c r="C287" s="23" t="inlineStr">
        <is>
          <t>Bajaj KEB 58H</t>
        </is>
      </c>
      <c r="D287" s="23" t="inlineStr">
        <is>
          <t>KEB58H</t>
        </is>
      </c>
      <c r="H287" s="23" t="n">
        <v>240000</v>
      </c>
      <c r="I287" s="23" t="n">
        <v>240000</v>
      </c>
      <c r="J287" s="23" t="inlineStr">
        <is>
          <t>efectivo</t>
        </is>
      </c>
    </row>
    <row r="288" hidden="1" customFormat="1" s="23">
      <c r="A288" s="38" t="n">
        <v>46022</v>
      </c>
      <c r="B288" s="23" t="inlineStr">
        <is>
          <t>Duvan Enrique</t>
        </is>
      </c>
      <c r="C288" s="23" t="inlineStr">
        <is>
          <t>Bajaj KEB 58H</t>
        </is>
      </c>
      <c r="D288" s="23" t="inlineStr">
        <is>
          <t>KEB58H</t>
        </is>
      </c>
      <c r="H288" s="23" t="n">
        <v>240000</v>
      </c>
      <c r="I288" s="23" t="n">
        <v>240000</v>
      </c>
      <c r="J288" s="23" t="inlineStr">
        <is>
          <t>efectivo</t>
        </is>
      </c>
    </row>
    <row r="289" hidden="1" customFormat="1" s="23">
      <c r="A289" s="38" t="n">
        <v>46031</v>
      </c>
      <c r="B289" s="23" t="inlineStr">
        <is>
          <t>Duvan Enrique</t>
        </is>
      </c>
      <c r="C289" s="23" t="inlineStr">
        <is>
          <t>Bajaj KEB 58H</t>
        </is>
      </c>
      <c r="D289" s="23" t="inlineStr">
        <is>
          <t>KEB58H</t>
        </is>
      </c>
      <c r="H289" s="23" t="n">
        <v>240000</v>
      </c>
      <c r="I289" s="23" t="n">
        <v>240000</v>
      </c>
      <c r="J289" s="23" t="inlineStr">
        <is>
          <t>efectivo</t>
        </is>
      </c>
    </row>
    <row r="290" hidden="1" customFormat="1" s="23">
      <c r="A290" s="38" t="n">
        <v>46043</v>
      </c>
      <c r="B290" s="23" t="inlineStr">
        <is>
          <t>Duvan Enrique</t>
        </is>
      </c>
      <c r="C290" s="23" t="inlineStr">
        <is>
          <t>Bajaj KEB 58H</t>
        </is>
      </c>
      <c r="D290" s="23" t="inlineStr">
        <is>
          <t>KEB58H</t>
        </is>
      </c>
      <c r="H290" s="23" t="n">
        <v>240000</v>
      </c>
      <c r="I290" s="23" t="n">
        <v>240000</v>
      </c>
      <c r="J290" s="23" t="inlineStr">
        <is>
          <t>efectivo</t>
        </is>
      </c>
    </row>
    <row r="291" hidden="1" customFormat="1" s="23">
      <c r="A291" s="38" t="n">
        <v>46051</v>
      </c>
      <c r="B291" s="23" t="inlineStr">
        <is>
          <t>Duvan Enrique</t>
        </is>
      </c>
      <c r="C291" s="23" t="inlineStr">
        <is>
          <t>Bajaj KEB 58H</t>
        </is>
      </c>
      <c r="D291" s="23" t="inlineStr">
        <is>
          <t>KEB58H</t>
        </is>
      </c>
      <c r="H291" s="23" t="n">
        <v>240000</v>
      </c>
      <c r="I291" s="23" t="n">
        <v>240000</v>
      </c>
      <c r="J291" s="23" t="inlineStr">
        <is>
          <t>efectivo</t>
        </is>
      </c>
    </row>
    <row r="292" hidden="1" customFormat="1" s="23">
      <c r="A292" s="38" t="n">
        <v>46072</v>
      </c>
      <c r="B292" s="23" t="inlineStr">
        <is>
          <t>Duvan Enrique</t>
        </is>
      </c>
      <c r="C292" s="23" t="inlineStr">
        <is>
          <t>Bajaj KEB 58H</t>
        </is>
      </c>
      <c r="D292" s="23" t="inlineStr">
        <is>
          <t>KEB58H</t>
        </is>
      </c>
      <c r="H292" s="23" t="n">
        <v>240000</v>
      </c>
      <c r="I292" s="23" t="n">
        <v>240000</v>
      </c>
      <c r="J292" s="23" t="inlineStr">
        <is>
          <t>efectivo</t>
        </is>
      </c>
    </row>
    <row r="293" hidden="1" customFormat="1" s="23">
      <c r="A293" s="38" t="n">
        <v>46080</v>
      </c>
      <c r="B293" s="23" t="inlineStr">
        <is>
          <t>Duvan Enrique</t>
        </is>
      </c>
      <c r="C293" s="23" t="inlineStr">
        <is>
          <t>Bajaj KEB 58H</t>
        </is>
      </c>
      <c r="D293" s="23" t="inlineStr">
        <is>
          <t>KEB58H</t>
        </is>
      </c>
      <c r="H293" s="23" t="n">
        <v>240000</v>
      </c>
      <c r="I293" s="23" t="n">
        <v>240000</v>
      </c>
      <c r="J293" s="23" t="inlineStr">
        <is>
          <t>efectivo</t>
        </is>
      </c>
    </row>
    <row r="294" hidden="1" customFormat="1" s="23">
      <c r="A294" s="38" t="n">
        <v>46085</v>
      </c>
      <c r="B294" s="23" t="inlineStr">
        <is>
          <t>Duvan Enrique</t>
        </is>
      </c>
      <c r="C294" s="23" t="inlineStr">
        <is>
          <t>Bajaj KEB 58H</t>
        </is>
      </c>
      <c r="D294" s="23" t="inlineStr">
        <is>
          <t>KEB58H</t>
        </is>
      </c>
      <c r="H294" s="23" t="n">
        <v>240000</v>
      </c>
      <c r="I294" s="23" t="n">
        <v>240000</v>
      </c>
      <c r="J294" s="23" t="inlineStr">
        <is>
          <t>efectivo</t>
        </is>
      </c>
    </row>
    <row r="295" hidden="1" customFormat="1" s="23">
      <c r="A295" s="38" t="n">
        <v>46094</v>
      </c>
      <c r="B295" s="23" t="inlineStr">
        <is>
          <t>Duvan Enrique</t>
        </is>
      </c>
      <c r="C295" s="23" t="inlineStr">
        <is>
          <t>Bajaj KEB 58H</t>
        </is>
      </c>
      <c r="D295" s="23" t="inlineStr">
        <is>
          <t>KEB58H</t>
        </is>
      </c>
      <c r="H295" s="23" t="n">
        <v>240000</v>
      </c>
      <c r="I295" s="23" t="n">
        <v>240000</v>
      </c>
      <c r="J295" s="23" t="inlineStr">
        <is>
          <t>efectivo</t>
        </is>
      </c>
    </row>
    <row r="296" hidden="1" customFormat="1" s="23">
      <c r="A296" s="38" t="n">
        <v>46102</v>
      </c>
      <c r="B296" s="23" t="inlineStr">
        <is>
          <t>Duvan Enrique</t>
        </is>
      </c>
      <c r="C296" s="23" t="inlineStr">
        <is>
          <t>Bajaj KEB 58H</t>
        </is>
      </c>
      <c r="D296" s="23" t="inlineStr">
        <is>
          <t>KEB58H</t>
        </is>
      </c>
      <c r="H296" s="23" t="n">
        <v>240000</v>
      </c>
      <c r="I296" s="23" t="n">
        <v>240000</v>
      </c>
      <c r="J296" s="23" t="inlineStr">
        <is>
          <t>efectivo</t>
        </is>
      </c>
    </row>
    <row r="297" hidden="1" customFormat="1" s="23">
      <c r="A297" s="38" t="n">
        <v>46107</v>
      </c>
      <c r="B297" s="23" t="inlineStr">
        <is>
          <t>Duvan Enrique</t>
        </is>
      </c>
      <c r="C297" s="23" t="inlineStr">
        <is>
          <t>Bajaj KEB 58H</t>
        </is>
      </c>
      <c r="D297" s="23" t="inlineStr">
        <is>
          <t>KEB58H</t>
        </is>
      </c>
      <c r="H297" s="23" t="n">
        <v>240000</v>
      </c>
      <c r="I297" s="23" t="n">
        <v>240000</v>
      </c>
      <c r="J297" s="23" t="inlineStr">
        <is>
          <t>efectivo</t>
        </is>
      </c>
    </row>
    <row r="298" hidden="1" customFormat="1" s="23">
      <c r="A298" s="38" t="n">
        <v>46114</v>
      </c>
      <c r="B298" s="23" t="inlineStr">
        <is>
          <t>Duvan Enrique</t>
        </is>
      </c>
      <c r="C298" s="23" t="inlineStr">
        <is>
          <t>Bajaj KEB 58H</t>
        </is>
      </c>
      <c r="D298" s="23" t="inlineStr">
        <is>
          <t>KEB58H</t>
        </is>
      </c>
      <c r="H298" s="23" t="n">
        <v>240000</v>
      </c>
      <c r="I298" s="23" t="n">
        <v>240000</v>
      </c>
      <c r="J298" s="23" t="inlineStr">
        <is>
          <t>efectivo</t>
        </is>
      </c>
    </row>
    <row r="299" hidden="1" customFormat="1" s="23">
      <c r="A299" s="38" t="n">
        <v>46128</v>
      </c>
      <c r="B299" s="23" t="inlineStr">
        <is>
          <t>Duvan Enrique</t>
        </is>
      </c>
      <c r="C299" s="23" t="inlineStr">
        <is>
          <t>Bajaj KEB 58H</t>
        </is>
      </c>
      <c r="D299" s="23" t="inlineStr">
        <is>
          <t>KEB58H</t>
        </is>
      </c>
      <c r="H299" s="23" t="n">
        <v>240000</v>
      </c>
      <c r="I299" s="23" t="n">
        <v>240000</v>
      </c>
      <c r="J299" s="23" t="inlineStr">
        <is>
          <t>efectivo</t>
        </is>
      </c>
    </row>
    <row r="300" hidden="1" customFormat="1" s="23">
      <c r="A300" s="38" t="n">
        <v>46132</v>
      </c>
      <c r="B300" s="23" t="inlineStr">
        <is>
          <t>Duvan Enrique</t>
        </is>
      </c>
      <c r="C300" s="23" t="inlineStr">
        <is>
          <t>Bajaj KEB 58H</t>
        </is>
      </c>
      <c r="D300" s="23" t="inlineStr">
        <is>
          <t>KEB58H</t>
        </is>
      </c>
      <c r="H300" s="23" t="n">
        <v>240000</v>
      </c>
      <c r="I300" s="23" t="n">
        <v>240000</v>
      </c>
      <c r="J300" s="23" t="inlineStr">
        <is>
          <t>efectivo</t>
        </is>
      </c>
    </row>
    <row r="301" hidden="1" customFormat="1" s="23">
      <c r="A301" s="38" t="n">
        <v>46149</v>
      </c>
      <c r="B301" s="23" t="inlineStr">
        <is>
          <t>Duvan Enrique</t>
        </is>
      </c>
      <c r="C301" s="23" t="inlineStr">
        <is>
          <t>Bajaj KEB 58H</t>
        </is>
      </c>
      <c r="D301" s="23" t="inlineStr">
        <is>
          <t>KEB58H</t>
        </is>
      </c>
      <c r="H301" s="23" t="n">
        <v>240000</v>
      </c>
      <c r="I301" s="23" t="n">
        <v>240000</v>
      </c>
      <c r="J301" s="23" t="inlineStr">
        <is>
          <t>efectivo</t>
        </is>
      </c>
    </row>
    <row r="302" hidden="1" customFormat="1" s="23">
      <c r="A302" s="38" t="n">
        <v>46158</v>
      </c>
      <c r="B302" s="23" t="inlineStr">
        <is>
          <t>Duvan Enrique</t>
        </is>
      </c>
      <c r="C302" s="23" t="inlineStr">
        <is>
          <t>Bajaj KEB 58H</t>
        </is>
      </c>
      <c r="D302" s="23" t="inlineStr">
        <is>
          <t>KEB58H</t>
        </is>
      </c>
      <c r="H302" s="23" t="n">
        <v>240000</v>
      </c>
      <c r="I302" s="23" t="n">
        <v>240000</v>
      </c>
      <c r="J302" s="23" t="inlineStr">
        <is>
          <t>efectivo</t>
        </is>
      </c>
    </row>
    <row r="303" hidden="1" customFormat="1" s="23">
      <c r="A303" s="38" t="n">
        <v>46165</v>
      </c>
      <c r="B303" s="23" t="inlineStr">
        <is>
          <t>Duvan Enrique</t>
        </is>
      </c>
      <c r="C303" s="23" t="inlineStr">
        <is>
          <t>Bajaj KEB 58H</t>
        </is>
      </c>
      <c r="D303" s="23" t="inlineStr">
        <is>
          <t>KEB58H</t>
        </is>
      </c>
      <c r="H303" s="23" t="n">
        <v>240000</v>
      </c>
      <c r="I303" s="23" t="n">
        <v>240000</v>
      </c>
      <c r="J303" s="23" t="inlineStr">
        <is>
          <t>efectivo</t>
        </is>
      </c>
    </row>
    <row r="304" hidden="1" customFormat="1" s="23">
      <c r="A304" s="38" t="n">
        <v>46172</v>
      </c>
      <c r="B304" s="23" t="inlineStr">
        <is>
          <t>Duvan Enrique</t>
        </is>
      </c>
      <c r="C304" s="23" t="inlineStr">
        <is>
          <t>Bajaj KEB 58H</t>
        </is>
      </c>
      <c r="D304" s="23" t="inlineStr">
        <is>
          <t>KEB58H</t>
        </is>
      </c>
      <c r="H304" s="23" t="n">
        <v>240000</v>
      </c>
      <c r="I304" s="23" t="n">
        <v>240000</v>
      </c>
      <c r="J304" s="23" t="inlineStr">
        <is>
          <t>efectivo</t>
        </is>
      </c>
    </row>
    <row r="305" hidden="1" customFormat="1" s="23">
      <c r="A305" s="38" t="n">
        <v>46180</v>
      </c>
      <c r="B305" s="23" t="inlineStr">
        <is>
          <t>Duvan Enrique</t>
        </is>
      </c>
      <c r="C305" s="23" t="inlineStr">
        <is>
          <t>Bajaj KEB 58H</t>
        </is>
      </c>
      <c r="D305" s="23" t="inlineStr">
        <is>
          <t>KEB58H</t>
        </is>
      </c>
      <c r="H305" s="23" t="n">
        <v>240000</v>
      </c>
      <c r="I305" s="23" t="n">
        <v>240000</v>
      </c>
      <c r="J305" s="23" t="inlineStr">
        <is>
          <t>efectivo</t>
        </is>
      </c>
    </row>
    <row r="306" hidden="1" customFormat="1" s="23">
      <c r="A306" s="38" t="n">
        <v>46193</v>
      </c>
      <c r="B306" s="23" t="inlineStr">
        <is>
          <t>Duvan Enrique</t>
        </is>
      </c>
      <c r="C306" s="23" t="inlineStr">
        <is>
          <t>Bajaj KEB 58H</t>
        </is>
      </c>
      <c r="D306" s="23" t="inlineStr">
        <is>
          <t>KEB58H</t>
        </is>
      </c>
      <c r="H306" s="23" t="n">
        <v>240000</v>
      </c>
      <c r="I306" s="23" t="n">
        <v>240000</v>
      </c>
      <c r="J306" s="23" t="inlineStr">
        <is>
          <t>efectivo</t>
        </is>
      </c>
    </row>
    <row r="307" hidden="1" customFormat="1" s="23">
      <c r="A307" s="38" t="n">
        <v>46205</v>
      </c>
      <c r="B307" s="23" t="inlineStr">
        <is>
          <t>Duvan Enrique</t>
        </is>
      </c>
      <c r="C307" s="23" t="inlineStr">
        <is>
          <t>Bajaj KEB 58H</t>
        </is>
      </c>
      <c r="D307" s="23" t="inlineStr">
        <is>
          <t>KEB58H</t>
        </is>
      </c>
      <c r="H307" s="23" t="n">
        <v>240000</v>
      </c>
      <c r="I307" s="23" t="n">
        <v>240000</v>
      </c>
      <c r="J307" s="23" t="inlineStr">
        <is>
          <t>efectivo</t>
        </is>
      </c>
    </row>
    <row r="308" hidden="1" customFormat="1" s="23">
      <c r="A308" s="38" t="n">
        <v>46213</v>
      </c>
      <c r="B308" s="23" t="inlineStr">
        <is>
          <t>Duvan Enrique</t>
        </is>
      </c>
      <c r="C308" s="23" t="inlineStr">
        <is>
          <t>Bajaj KEB 58H</t>
        </is>
      </c>
      <c r="D308" s="23" t="inlineStr">
        <is>
          <t>KEB58H</t>
        </is>
      </c>
      <c r="H308" s="23" t="n">
        <v>240000</v>
      </c>
      <c r="I308" s="23" t="n">
        <v>240000</v>
      </c>
      <c r="J308" s="23" t="inlineStr">
        <is>
          <t>efectivo</t>
        </is>
      </c>
    </row>
    <row r="309" hidden="1" customFormat="1" s="23">
      <c r="A309" s="38" t="n">
        <v>46225</v>
      </c>
      <c r="B309" s="23" t="inlineStr">
        <is>
          <t>Duvan Enrique</t>
        </is>
      </c>
      <c r="C309" s="23" t="inlineStr">
        <is>
          <t>Bajaj KEB 58H</t>
        </is>
      </c>
      <c r="D309" s="23" t="inlineStr">
        <is>
          <t>KEB58H</t>
        </is>
      </c>
      <c r="H309" s="23" t="n">
        <v>240000</v>
      </c>
      <c r="I309" s="23" t="n">
        <v>240000</v>
      </c>
      <c r="J309" s="23" t="inlineStr">
        <is>
          <t>efectivo</t>
        </is>
      </c>
    </row>
    <row r="310" hidden="1" customFormat="1" s="23">
      <c r="A310" s="38" t="n">
        <v>45751</v>
      </c>
      <c r="B310" s="23" t="inlineStr">
        <is>
          <t>Wilmar Ivis</t>
        </is>
      </c>
      <c r="C310" s="23" t="inlineStr">
        <is>
          <t>Bajaj KEW 27H</t>
        </is>
      </c>
      <c r="D310" s="23" t="inlineStr">
        <is>
          <t>KEW27H</t>
        </is>
      </c>
      <c r="H310" s="23" t="n">
        <v>240000</v>
      </c>
      <c r="I310" s="23" t="n">
        <v>240000</v>
      </c>
      <c r="J310" s="23" t="inlineStr">
        <is>
          <t>efectivo</t>
        </is>
      </c>
    </row>
    <row r="311" hidden="1" customFormat="1" s="23">
      <c r="A311" s="38" t="n">
        <v>45759</v>
      </c>
      <c r="B311" s="23" t="inlineStr">
        <is>
          <t>Wilmar Ivis</t>
        </is>
      </c>
      <c r="C311" s="23" t="inlineStr">
        <is>
          <t>Bajaj KEW 27H</t>
        </is>
      </c>
      <c r="D311" s="23" t="inlineStr">
        <is>
          <t>KEW27H</t>
        </is>
      </c>
      <c r="H311" s="23" t="n">
        <v>240000</v>
      </c>
      <c r="I311" s="23" t="n">
        <v>240000</v>
      </c>
      <c r="J311" s="23" t="inlineStr">
        <is>
          <t>efectivo</t>
        </is>
      </c>
    </row>
    <row r="312" hidden="1" customFormat="1" s="23">
      <c r="A312" s="38" t="n">
        <v>45767</v>
      </c>
      <c r="B312" s="23" t="inlineStr">
        <is>
          <t>Wilmar Ivis</t>
        </is>
      </c>
      <c r="C312" s="23" t="inlineStr">
        <is>
          <t>Bajaj KEW 27H</t>
        </is>
      </c>
      <c r="D312" s="23" t="inlineStr">
        <is>
          <t>KEW27H</t>
        </is>
      </c>
      <c r="H312" s="23" t="n">
        <v>240000</v>
      </c>
      <c r="I312" s="23" t="n">
        <v>240000</v>
      </c>
      <c r="J312" s="23" t="inlineStr">
        <is>
          <t>efectivo</t>
        </is>
      </c>
    </row>
    <row r="313" hidden="1" customFormat="1" s="23">
      <c r="A313" s="38" t="n">
        <v>45775</v>
      </c>
      <c r="B313" s="23" t="inlineStr">
        <is>
          <t>Wilmar Ivis</t>
        </is>
      </c>
      <c r="C313" s="23" t="inlineStr">
        <is>
          <t>Bajaj KEW 27H</t>
        </is>
      </c>
      <c r="D313" s="23" t="inlineStr">
        <is>
          <t>KEW27H</t>
        </is>
      </c>
      <c r="H313" s="23" t="n">
        <v>240000</v>
      </c>
      <c r="I313" s="23" t="n">
        <v>240000</v>
      </c>
      <c r="J313" s="23" t="inlineStr">
        <is>
          <t>efectivo</t>
        </is>
      </c>
    </row>
    <row r="314" hidden="1" customFormat="1" s="23">
      <c r="A314" s="38" t="n">
        <v>45783</v>
      </c>
      <c r="B314" s="23" t="inlineStr">
        <is>
          <t>Wilmar Ivis</t>
        </is>
      </c>
      <c r="C314" s="23" t="inlineStr">
        <is>
          <t>Bajaj KEW 27H</t>
        </is>
      </c>
      <c r="D314" s="23" t="inlineStr">
        <is>
          <t>KEW27H</t>
        </is>
      </c>
      <c r="H314" s="23" t="n">
        <v>240000</v>
      </c>
      <c r="I314" s="23" t="n">
        <v>240000</v>
      </c>
      <c r="J314" s="23" t="inlineStr">
        <is>
          <t>efectivo</t>
        </is>
      </c>
    </row>
    <row r="315" hidden="1" customFormat="1" s="23">
      <c r="A315" s="38" t="n">
        <v>45796</v>
      </c>
      <c r="B315" s="23" t="inlineStr">
        <is>
          <t>Wilmar Ivis</t>
        </is>
      </c>
      <c r="C315" s="23" t="inlineStr">
        <is>
          <t>Bajaj KEW 27H</t>
        </is>
      </c>
      <c r="D315" s="23" t="inlineStr">
        <is>
          <t>KEW27H</t>
        </is>
      </c>
      <c r="H315" s="23" t="n">
        <v>240000</v>
      </c>
      <c r="I315" s="23" t="n">
        <v>240000</v>
      </c>
      <c r="J315" s="23" t="inlineStr">
        <is>
          <t>efectivo</t>
        </is>
      </c>
    </row>
    <row r="316" hidden="1" customFormat="1" s="23">
      <c r="A316" s="38" t="n">
        <v>45799</v>
      </c>
      <c r="B316" s="23" t="inlineStr">
        <is>
          <t>Wilmar Ivis</t>
        </is>
      </c>
      <c r="C316" s="23" t="inlineStr">
        <is>
          <t>Bajaj KEW 27H</t>
        </is>
      </c>
      <c r="D316" s="23" t="inlineStr">
        <is>
          <t>KEW27H</t>
        </is>
      </c>
      <c r="H316" s="23" t="n">
        <v>240000</v>
      </c>
      <c r="I316" s="23" t="n">
        <v>240000</v>
      </c>
      <c r="J316" s="23" t="inlineStr">
        <is>
          <t>efectivo</t>
        </is>
      </c>
    </row>
    <row r="317" hidden="1" customFormat="1" s="23">
      <c r="A317" s="38" t="n">
        <v>45807</v>
      </c>
      <c r="B317" s="23" t="inlineStr">
        <is>
          <t>Wilmar Ivis</t>
        </is>
      </c>
      <c r="C317" s="23" t="inlineStr">
        <is>
          <t>Bajaj KEW 27H</t>
        </is>
      </c>
      <c r="D317" s="23" t="inlineStr">
        <is>
          <t>KEW27H</t>
        </is>
      </c>
      <c r="H317" s="23" t="n">
        <v>240000</v>
      </c>
      <c r="I317" s="23" t="n">
        <v>240000</v>
      </c>
      <c r="J317" s="23" t="inlineStr">
        <is>
          <t>efectivo</t>
        </is>
      </c>
    </row>
    <row r="318" hidden="1" customFormat="1" s="23">
      <c r="A318" s="38" t="n">
        <v>45815</v>
      </c>
      <c r="B318" s="23" t="inlineStr">
        <is>
          <t>Wilmar Ivis</t>
        </is>
      </c>
      <c r="C318" s="23" t="inlineStr">
        <is>
          <t>Bajaj KEW 27H</t>
        </is>
      </c>
      <c r="D318" s="23" t="inlineStr">
        <is>
          <t>KEW27H</t>
        </is>
      </c>
      <c r="H318" s="23" t="n">
        <v>240000</v>
      </c>
      <c r="I318" s="23" t="n">
        <v>240000</v>
      </c>
      <c r="J318" s="23" t="inlineStr">
        <is>
          <t>efectivo</t>
        </is>
      </c>
    </row>
    <row r="319" hidden="1" customFormat="1" s="23">
      <c r="A319" s="38" t="n">
        <v>45823</v>
      </c>
      <c r="B319" s="23" t="inlineStr">
        <is>
          <t>Wilmar Ivis</t>
        </is>
      </c>
      <c r="C319" s="23" t="inlineStr">
        <is>
          <t>Bajaj KEW 27H</t>
        </is>
      </c>
      <c r="D319" s="23" t="inlineStr">
        <is>
          <t>KEW27H</t>
        </is>
      </c>
      <c r="H319" s="23" t="n">
        <v>240000</v>
      </c>
      <c r="I319" s="23" t="n">
        <v>240000</v>
      </c>
      <c r="J319" s="23" t="inlineStr">
        <is>
          <t>efectivo</t>
        </is>
      </c>
    </row>
    <row r="320" hidden="1" customFormat="1" s="23">
      <c r="A320" s="38" t="n">
        <v>45831</v>
      </c>
      <c r="B320" s="23" t="inlineStr">
        <is>
          <t>Wilmar Ivis</t>
        </is>
      </c>
      <c r="C320" s="23" t="inlineStr">
        <is>
          <t>Bajaj KEW 27H</t>
        </is>
      </c>
      <c r="D320" s="23" t="inlineStr">
        <is>
          <t>KEW27H</t>
        </is>
      </c>
      <c r="H320" s="23" t="n">
        <v>240000</v>
      </c>
      <c r="I320" s="23" t="n">
        <v>240000</v>
      </c>
      <c r="J320" s="23" t="inlineStr">
        <is>
          <t>efectivo</t>
        </is>
      </c>
    </row>
    <row r="321" hidden="1" customFormat="1" s="23">
      <c r="A321" s="38" t="n">
        <v>45840</v>
      </c>
      <c r="B321" s="23" t="inlineStr">
        <is>
          <t>Wilmar Ivis</t>
        </is>
      </c>
      <c r="C321" s="23" t="inlineStr">
        <is>
          <t>Bajaj KEW 27H</t>
        </is>
      </c>
      <c r="D321" s="23" t="inlineStr">
        <is>
          <t>KEW27H</t>
        </is>
      </c>
      <c r="H321" s="23" t="n">
        <v>240000</v>
      </c>
      <c r="I321" s="23" t="n">
        <v>240000</v>
      </c>
      <c r="J321" s="23" t="inlineStr">
        <is>
          <t>efectivo</t>
        </is>
      </c>
    </row>
    <row r="322" hidden="1" customFormat="1" s="23">
      <c r="A322" s="38" t="n">
        <v>45849</v>
      </c>
      <c r="B322" s="23" t="inlineStr">
        <is>
          <t>Wilmar Ivis</t>
        </is>
      </c>
      <c r="C322" s="23" t="inlineStr">
        <is>
          <t>Bajaj KEW 27H</t>
        </is>
      </c>
      <c r="D322" s="23" t="inlineStr">
        <is>
          <t>KEW27H</t>
        </is>
      </c>
      <c r="H322" s="23" t="n">
        <v>240000</v>
      </c>
      <c r="I322" s="23" t="n">
        <v>240000</v>
      </c>
      <c r="J322" s="23" t="inlineStr">
        <is>
          <t>efectivo</t>
        </is>
      </c>
    </row>
    <row r="323" hidden="1" customFormat="1" s="23">
      <c r="A323" s="38" t="n">
        <v>45857</v>
      </c>
      <c r="B323" s="23" t="inlineStr">
        <is>
          <t>Wilmar Ivis</t>
        </is>
      </c>
      <c r="C323" s="23" t="inlineStr">
        <is>
          <t>Bajaj KEW 27H</t>
        </is>
      </c>
      <c r="D323" s="23" t="inlineStr">
        <is>
          <t>KEW27H</t>
        </is>
      </c>
      <c r="H323" s="23" t="n">
        <v>240000</v>
      </c>
      <c r="I323" s="23" t="n">
        <v>240000</v>
      </c>
      <c r="J323" s="23" t="inlineStr">
        <is>
          <t>efectivo</t>
        </is>
      </c>
    </row>
    <row r="324" hidden="1" customFormat="1" s="23">
      <c r="A324" s="38" t="n">
        <v>45865</v>
      </c>
      <c r="B324" s="23" t="inlineStr">
        <is>
          <t>Wilmar Ivis</t>
        </is>
      </c>
      <c r="C324" s="23" t="inlineStr">
        <is>
          <t>Bajaj KEW 27H</t>
        </is>
      </c>
      <c r="D324" s="23" t="inlineStr">
        <is>
          <t>KEW27H</t>
        </is>
      </c>
      <c r="H324" s="23" t="n">
        <v>240000</v>
      </c>
      <c r="I324" s="23" t="n">
        <v>240000</v>
      </c>
      <c r="J324" s="23" t="inlineStr">
        <is>
          <t>efectivo</t>
        </is>
      </c>
    </row>
    <row r="325" hidden="1" customFormat="1" s="23">
      <c r="A325" s="38" t="n">
        <v>45873</v>
      </c>
      <c r="B325" s="23" t="inlineStr">
        <is>
          <t>Wilmar Ivis</t>
        </is>
      </c>
      <c r="C325" s="23" t="inlineStr">
        <is>
          <t>Bajaj KEW 27H</t>
        </is>
      </c>
      <c r="D325" s="23" t="inlineStr">
        <is>
          <t>KEW27H</t>
        </is>
      </c>
      <c r="H325" s="23" t="n">
        <v>240000</v>
      </c>
      <c r="I325" s="23" t="n">
        <v>240000</v>
      </c>
      <c r="J325" s="23" t="inlineStr">
        <is>
          <t>efectivo</t>
        </is>
      </c>
    </row>
    <row r="326" hidden="1" customFormat="1" s="23">
      <c r="A326" s="38" t="n">
        <v>45881</v>
      </c>
      <c r="B326" s="23" t="inlineStr">
        <is>
          <t>Wilmar Ivis</t>
        </is>
      </c>
      <c r="C326" s="23" t="inlineStr">
        <is>
          <t>Bajaj KEW 27H</t>
        </is>
      </c>
      <c r="D326" s="23" t="inlineStr">
        <is>
          <t>KEW27H</t>
        </is>
      </c>
      <c r="H326" s="23" t="n">
        <v>240000</v>
      </c>
      <c r="I326" s="23" t="n">
        <v>240000</v>
      </c>
      <c r="J326" s="23" t="inlineStr">
        <is>
          <t>efectivo</t>
        </is>
      </c>
    </row>
    <row r="327" hidden="1" customFormat="1" s="23">
      <c r="A327" s="38" t="n">
        <v>45889</v>
      </c>
      <c r="B327" s="23" t="inlineStr">
        <is>
          <t>Wilmar Ivis</t>
        </is>
      </c>
      <c r="C327" s="23" t="inlineStr">
        <is>
          <t>Bajaj KEW 27H</t>
        </is>
      </c>
      <c r="D327" s="23" t="inlineStr">
        <is>
          <t>KEW27H</t>
        </is>
      </c>
      <c r="H327" s="23" t="n">
        <v>240000</v>
      </c>
      <c r="I327" s="23" t="n">
        <v>240000</v>
      </c>
      <c r="J327" s="23" t="inlineStr">
        <is>
          <t>efectivo</t>
        </is>
      </c>
    </row>
    <row r="328" hidden="1" customFormat="1" s="23">
      <c r="A328" s="38" t="n">
        <v>45897</v>
      </c>
      <c r="B328" s="23" t="inlineStr">
        <is>
          <t>Wilmar Ivis</t>
        </is>
      </c>
      <c r="C328" s="23" t="inlineStr">
        <is>
          <t>Bajaj KEW 27H</t>
        </is>
      </c>
      <c r="D328" s="23" t="inlineStr">
        <is>
          <t>KEW27H</t>
        </is>
      </c>
      <c r="H328" s="23" t="n">
        <v>240000</v>
      </c>
      <c r="I328" s="23" t="n">
        <v>240000</v>
      </c>
      <c r="J328" s="23" t="inlineStr">
        <is>
          <t>efectivo</t>
        </is>
      </c>
    </row>
    <row r="329" hidden="1" customFormat="1" s="23">
      <c r="A329" s="38" t="n">
        <v>45905</v>
      </c>
      <c r="B329" s="23" t="inlineStr">
        <is>
          <t>Wilmar Ivis</t>
        </is>
      </c>
      <c r="C329" s="23" t="inlineStr">
        <is>
          <t>Bajaj KEW 27H</t>
        </is>
      </c>
      <c r="D329" s="23" t="inlineStr">
        <is>
          <t>KEW27H</t>
        </is>
      </c>
      <c r="H329" s="23" t="n">
        <v>240000</v>
      </c>
      <c r="I329" s="23" t="n">
        <v>240000</v>
      </c>
      <c r="J329" s="23" t="inlineStr">
        <is>
          <t>efectivo</t>
        </is>
      </c>
    </row>
    <row r="330" hidden="1" customFormat="1" s="23">
      <c r="A330" s="38" t="n">
        <v>45913</v>
      </c>
      <c r="B330" s="23" t="inlineStr">
        <is>
          <t>Wilmar Ivis</t>
        </is>
      </c>
      <c r="C330" s="23" t="inlineStr">
        <is>
          <t>Bajaj KEW 27H</t>
        </is>
      </c>
      <c r="D330" s="23" t="inlineStr">
        <is>
          <t>KEW27H</t>
        </is>
      </c>
      <c r="H330" s="23" t="n">
        <v>240000</v>
      </c>
      <c r="I330" s="23" t="n">
        <v>240000</v>
      </c>
      <c r="J330" s="23" t="inlineStr">
        <is>
          <t>efectivo</t>
        </is>
      </c>
    </row>
    <row r="331" hidden="1" customFormat="1" s="23">
      <c r="A331" s="38" t="n">
        <v>45921</v>
      </c>
      <c r="B331" s="23" t="inlineStr">
        <is>
          <t>Wilmar Ivis</t>
        </is>
      </c>
      <c r="C331" s="23" t="inlineStr">
        <is>
          <t>Bajaj KEW 27H</t>
        </is>
      </c>
      <c r="D331" s="23" t="inlineStr">
        <is>
          <t>KEW27H</t>
        </is>
      </c>
      <c r="H331" s="23" t="n">
        <v>240000</v>
      </c>
      <c r="I331" s="23" t="n">
        <v>240000</v>
      </c>
      <c r="J331" s="23" t="inlineStr">
        <is>
          <t>efectivo</t>
        </is>
      </c>
    </row>
    <row r="332" hidden="1" customFormat="1" s="23">
      <c r="A332" s="38" t="n">
        <v>45929</v>
      </c>
      <c r="B332" s="23" t="inlineStr">
        <is>
          <t>Wilmar Ivis</t>
        </is>
      </c>
      <c r="C332" s="23" t="inlineStr">
        <is>
          <t>Bajaj KEW 27H</t>
        </is>
      </c>
      <c r="D332" s="23" t="inlineStr">
        <is>
          <t>KEW27H</t>
        </is>
      </c>
      <c r="H332" s="23" t="n">
        <v>240000</v>
      </c>
      <c r="I332" s="23" t="n">
        <v>240000</v>
      </c>
      <c r="J332" s="23" t="inlineStr">
        <is>
          <t>efectivo</t>
        </is>
      </c>
    </row>
    <row r="333" hidden="1" customFormat="1" s="23">
      <c r="A333" s="38" t="n">
        <v>45937</v>
      </c>
      <c r="B333" s="23" t="inlineStr">
        <is>
          <t>Wilmar Ivis</t>
        </is>
      </c>
      <c r="C333" s="23" t="inlineStr">
        <is>
          <t>Bajaj KEW 27H</t>
        </is>
      </c>
      <c r="D333" s="23" t="inlineStr">
        <is>
          <t>KEW27H</t>
        </is>
      </c>
      <c r="H333" s="23" t="n">
        <v>240000</v>
      </c>
      <c r="I333" s="23" t="n">
        <v>240000</v>
      </c>
      <c r="J333" s="23" t="inlineStr">
        <is>
          <t>efectivo</t>
        </is>
      </c>
    </row>
    <row r="334" hidden="1" customFormat="1" s="23">
      <c r="A334" s="38" t="n">
        <v>45943</v>
      </c>
      <c r="B334" s="23" t="inlineStr">
        <is>
          <t>Wilmar Ivis</t>
        </is>
      </c>
      <c r="C334" s="23" t="inlineStr">
        <is>
          <t>Bajaj KEW 27H</t>
        </is>
      </c>
      <c r="D334" s="23" t="inlineStr">
        <is>
          <t>KEW27H</t>
        </is>
      </c>
      <c r="H334" s="23" t="n">
        <v>240000</v>
      </c>
      <c r="I334" s="23" t="n">
        <v>240000</v>
      </c>
      <c r="J334" s="23" t="inlineStr">
        <is>
          <t>efectivo</t>
        </is>
      </c>
    </row>
    <row r="335" hidden="1" customFormat="1" s="23">
      <c r="A335" s="38" t="n">
        <v>45952</v>
      </c>
      <c r="B335" s="23" t="inlineStr">
        <is>
          <t>Wilmar Ivis</t>
        </is>
      </c>
      <c r="C335" s="23" t="inlineStr">
        <is>
          <t>Bajaj KEW 27H</t>
        </is>
      </c>
      <c r="D335" s="23" t="inlineStr">
        <is>
          <t>KEW27H</t>
        </is>
      </c>
      <c r="H335" s="23" t="n">
        <v>240000</v>
      </c>
      <c r="I335" s="23" t="n">
        <v>240000</v>
      </c>
      <c r="J335" s="23" t="inlineStr">
        <is>
          <t>efectivo</t>
        </is>
      </c>
    </row>
    <row r="336" hidden="1" customFormat="1" s="23">
      <c r="A336" s="38" t="n">
        <v>45960</v>
      </c>
      <c r="B336" s="23" t="inlineStr">
        <is>
          <t>Wilmar Ivis</t>
        </is>
      </c>
      <c r="C336" s="23" t="inlineStr">
        <is>
          <t>Bajaj KEW 27H</t>
        </is>
      </c>
      <c r="D336" s="23" t="inlineStr">
        <is>
          <t>KEW27H</t>
        </is>
      </c>
      <c r="H336" s="23" t="n">
        <v>240000</v>
      </c>
      <c r="I336" s="23" t="n">
        <v>240000</v>
      </c>
      <c r="J336" s="23" t="inlineStr">
        <is>
          <t>efectivo</t>
        </is>
      </c>
    </row>
    <row r="337" hidden="1" customFormat="1" s="23">
      <c r="A337" s="38" t="n">
        <v>45968</v>
      </c>
      <c r="B337" s="23" t="inlineStr">
        <is>
          <t>Wilmar Ivis</t>
        </is>
      </c>
      <c r="C337" s="23" t="inlineStr">
        <is>
          <t>Bajaj KEW 27H</t>
        </is>
      </c>
      <c r="D337" s="23" t="inlineStr">
        <is>
          <t>KEW27H</t>
        </is>
      </c>
      <c r="H337" s="23" t="n">
        <v>240000</v>
      </c>
      <c r="I337" s="23" t="n">
        <v>240000</v>
      </c>
      <c r="J337" s="23" t="inlineStr">
        <is>
          <t>efectivo</t>
        </is>
      </c>
    </row>
    <row r="338" hidden="1" customFormat="1" s="23">
      <c r="A338" s="38" t="n">
        <v>45976</v>
      </c>
      <c r="B338" s="23" t="inlineStr">
        <is>
          <t>Wilmar Ivis</t>
        </is>
      </c>
      <c r="C338" s="23" t="inlineStr">
        <is>
          <t>Bajaj KEW 27H</t>
        </is>
      </c>
      <c r="D338" s="23" t="inlineStr">
        <is>
          <t>KEW27H</t>
        </is>
      </c>
      <c r="H338" s="23" t="n">
        <v>240000</v>
      </c>
      <c r="I338" s="23" t="n">
        <v>240000</v>
      </c>
      <c r="J338" s="23" t="inlineStr">
        <is>
          <t>efectivo</t>
        </is>
      </c>
    </row>
    <row r="339" hidden="1" customFormat="1" s="23">
      <c r="A339" s="38" t="n">
        <v>45984</v>
      </c>
      <c r="B339" s="23" t="inlineStr">
        <is>
          <t>Wilmar Ivis</t>
        </is>
      </c>
      <c r="C339" s="23" t="inlineStr">
        <is>
          <t>Bajaj KEW 27H</t>
        </is>
      </c>
      <c r="D339" s="23" t="inlineStr">
        <is>
          <t>KEW27H</t>
        </is>
      </c>
      <c r="H339" s="23" t="n">
        <v>240000</v>
      </c>
      <c r="I339" s="23" t="n">
        <v>240000</v>
      </c>
      <c r="J339" s="23" t="inlineStr">
        <is>
          <t>efectivo</t>
        </is>
      </c>
    </row>
    <row r="340" hidden="1" customFormat="1" s="23">
      <c r="A340" s="38" t="n">
        <v>45992</v>
      </c>
      <c r="B340" s="23" t="inlineStr">
        <is>
          <t>Wilmar Ivis</t>
        </is>
      </c>
      <c r="C340" s="23" t="inlineStr">
        <is>
          <t>Bajaj KEW 27H</t>
        </is>
      </c>
      <c r="D340" s="23" t="inlineStr">
        <is>
          <t>KEW27H</t>
        </is>
      </c>
      <c r="H340" s="23" t="n">
        <v>240000</v>
      </c>
      <c r="I340" s="23" t="n">
        <v>240000</v>
      </c>
      <c r="J340" s="23" t="inlineStr">
        <is>
          <t>efectivo</t>
        </is>
      </c>
    </row>
    <row r="341" hidden="1" customFormat="1" s="23">
      <c r="A341" s="38" t="n">
        <v>46000</v>
      </c>
      <c r="B341" s="23" t="inlineStr">
        <is>
          <t>Wilmar Ivis</t>
        </is>
      </c>
      <c r="C341" s="23" t="inlineStr">
        <is>
          <t>Bajaj KEW 27H</t>
        </is>
      </c>
      <c r="D341" s="23" t="inlineStr">
        <is>
          <t>KEW27H</t>
        </is>
      </c>
      <c r="H341" s="23" t="n">
        <v>240000</v>
      </c>
      <c r="I341" s="23" t="n">
        <v>240000</v>
      </c>
      <c r="J341" s="23" t="inlineStr">
        <is>
          <t>efectivo</t>
        </is>
      </c>
    </row>
    <row r="342" hidden="1" customFormat="1" s="23">
      <c r="A342" s="38" t="n">
        <v>46008</v>
      </c>
      <c r="B342" s="23" t="inlineStr">
        <is>
          <t>Wilmar Ivis</t>
        </is>
      </c>
      <c r="C342" s="23" t="inlineStr">
        <is>
          <t>Bajaj KEW 27H</t>
        </is>
      </c>
      <c r="D342" s="23" t="inlineStr">
        <is>
          <t>KEW27H</t>
        </is>
      </c>
      <c r="H342" s="23" t="n">
        <v>240000</v>
      </c>
      <c r="I342" s="23" t="n">
        <v>240000</v>
      </c>
      <c r="J342" s="23" t="inlineStr">
        <is>
          <t>efectivo</t>
        </is>
      </c>
    </row>
    <row r="343" hidden="1" customFormat="1" s="23">
      <c r="A343" s="38" t="n">
        <v>46016</v>
      </c>
      <c r="B343" s="23" t="inlineStr">
        <is>
          <t>Wilmar Ivis</t>
        </is>
      </c>
      <c r="C343" s="23" t="inlineStr">
        <is>
          <t>Bajaj KEW 27H</t>
        </is>
      </c>
      <c r="D343" s="23" t="inlineStr">
        <is>
          <t>KEW27H</t>
        </is>
      </c>
      <c r="H343" s="23" t="n">
        <v>240000</v>
      </c>
      <c r="I343" s="23" t="n">
        <v>240000</v>
      </c>
      <c r="J343" s="23" t="inlineStr">
        <is>
          <t>efectivo</t>
        </is>
      </c>
    </row>
    <row r="344" hidden="1" customFormat="1" s="23">
      <c r="A344" s="38" t="n">
        <v>46029</v>
      </c>
      <c r="B344" s="23" t="inlineStr">
        <is>
          <t>Wilmar Ivis</t>
        </is>
      </c>
      <c r="C344" s="23" t="inlineStr">
        <is>
          <t>Bajaj KEW 27H</t>
        </is>
      </c>
      <c r="D344" s="23" t="inlineStr">
        <is>
          <t>KEW27H</t>
        </is>
      </c>
      <c r="H344" s="23" t="n">
        <v>240000</v>
      </c>
      <c r="I344" s="23" t="n">
        <v>240000</v>
      </c>
      <c r="J344" s="23" t="inlineStr">
        <is>
          <t>efectivo</t>
        </is>
      </c>
    </row>
    <row r="345" hidden="1" customFormat="1" s="23">
      <c r="A345" s="38" t="n">
        <v>46037</v>
      </c>
      <c r="B345" s="23" t="inlineStr">
        <is>
          <t>Wilmar Ivis</t>
        </is>
      </c>
      <c r="C345" s="23" t="inlineStr">
        <is>
          <t>Bajaj KEW 27H</t>
        </is>
      </c>
      <c r="D345" s="23" t="inlineStr">
        <is>
          <t>KEW27H</t>
        </is>
      </c>
      <c r="H345" s="23" t="n">
        <v>240000</v>
      </c>
      <c r="I345" s="23" t="n">
        <v>240000</v>
      </c>
      <c r="J345" s="23" t="inlineStr">
        <is>
          <t>efectivo</t>
        </is>
      </c>
    </row>
    <row r="346" hidden="1" customFormat="1" s="23">
      <c r="A346" s="38" t="n">
        <v>46045</v>
      </c>
      <c r="B346" s="23" t="inlineStr">
        <is>
          <t>Wilmar Ivis</t>
        </is>
      </c>
      <c r="C346" s="23" t="inlineStr">
        <is>
          <t>Bajaj KEW 27H</t>
        </is>
      </c>
      <c r="D346" s="23" t="inlineStr">
        <is>
          <t>KEW27H</t>
        </is>
      </c>
      <c r="H346" s="23" t="n">
        <v>240000</v>
      </c>
      <c r="I346" s="23" t="n">
        <v>240000</v>
      </c>
      <c r="J346" s="23" t="inlineStr">
        <is>
          <t>efectivo</t>
        </is>
      </c>
    </row>
    <row r="347" hidden="1" customFormat="1" s="23">
      <c r="A347" s="38" t="n">
        <v>46054</v>
      </c>
      <c r="B347" s="23" t="inlineStr">
        <is>
          <t>Wilmar Ivis</t>
        </is>
      </c>
      <c r="C347" s="23" t="inlineStr">
        <is>
          <t>Bajaj KEW 27H</t>
        </is>
      </c>
      <c r="D347" s="23" t="inlineStr">
        <is>
          <t>KEW27H</t>
        </is>
      </c>
      <c r="H347" s="23" t="n">
        <v>240000</v>
      </c>
      <c r="I347" s="23" t="n">
        <v>240000</v>
      </c>
      <c r="J347" s="23" t="inlineStr">
        <is>
          <t>efectivo</t>
        </is>
      </c>
    </row>
    <row r="348" hidden="1" customFormat="1" s="23">
      <c r="A348" s="38" t="n">
        <v>46062</v>
      </c>
      <c r="B348" s="23" t="inlineStr">
        <is>
          <t>Wilmar Ivis</t>
        </is>
      </c>
      <c r="C348" s="23" t="inlineStr">
        <is>
          <t>Bajaj KEW 27H</t>
        </is>
      </c>
      <c r="D348" s="23" t="inlineStr">
        <is>
          <t>KEW27H</t>
        </is>
      </c>
      <c r="H348" s="23" t="n">
        <v>240000</v>
      </c>
      <c r="I348" s="23" t="n">
        <v>240000</v>
      </c>
      <c r="J348" s="23" t="inlineStr">
        <is>
          <t>efectivo</t>
        </is>
      </c>
    </row>
    <row r="349" hidden="1" customFormat="1" s="23">
      <c r="A349" s="38" t="n">
        <v>46070</v>
      </c>
      <c r="B349" s="23" t="inlineStr">
        <is>
          <t>Wilmar Ivis</t>
        </is>
      </c>
      <c r="C349" s="23" t="inlineStr">
        <is>
          <t>Bajaj KEW 27H</t>
        </is>
      </c>
      <c r="D349" s="23" t="inlineStr">
        <is>
          <t>KEW27H</t>
        </is>
      </c>
      <c r="H349" s="23" t="n">
        <v>240000</v>
      </c>
      <c r="I349" s="23" t="n">
        <v>240000</v>
      </c>
      <c r="J349" s="23" t="inlineStr">
        <is>
          <t>efectivo</t>
        </is>
      </c>
    </row>
    <row r="350" hidden="1" customFormat="1" s="23">
      <c r="A350" s="38" t="n">
        <v>46078</v>
      </c>
      <c r="B350" s="23" t="inlineStr">
        <is>
          <t>Wilmar Ivis</t>
        </is>
      </c>
      <c r="C350" s="23" t="inlineStr">
        <is>
          <t>Bajaj KEW 27H</t>
        </is>
      </c>
      <c r="D350" s="23" t="inlineStr">
        <is>
          <t>KEW27H</t>
        </is>
      </c>
      <c r="H350" s="23" t="n">
        <v>240000</v>
      </c>
      <c r="I350" s="23" t="n">
        <v>240000</v>
      </c>
      <c r="J350" s="23" t="inlineStr">
        <is>
          <t>efectivo</t>
        </is>
      </c>
    </row>
    <row r="351" hidden="1" customFormat="1" s="23">
      <c r="A351" s="38" t="n">
        <v>46086</v>
      </c>
      <c r="B351" s="23" t="inlineStr">
        <is>
          <t>Wilmar Ivis</t>
        </is>
      </c>
      <c r="C351" s="23" t="inlineStr">
        <is>
          <t>Bajaj KEW 27H</t>
        </is>
      </c>
      <c r="D351" s="23" t="inlineStr">
        <is>
          <t>KEW27H</t>
        </is>
      </c>
      <c r="H351" s="23" t="n">
        <v>240000</v>
      </c>
      <c r="I351" s="23" t="n">
        <v>240000</v>
      </c>
      <c r="J351" s="23" t="inlineStr">
        <is>
          <t>efectivo</t>
        </is>
      </c>
    </row>
    <row r="352" hidden="1" customFormat="1" s="23">
      <c r="A352" s="38" t="n">
        <v>46094</v>
      </c>
      <c r="B352" s="23" t="inlineStr">
        <is>
          <t>Wilmar Ivis</t>
        </is>
      </c>
      <c r="C352" s="23" t="inlineStr">
        <is>
          <t>Bajaj KEW 27H</t>
        </is>
      </c>
      <c r="D352" s="23" t="inlineStr">
        <is>
          <t>KEW27H</t>
        </is>
      </c>
      <c r="H352" s="23" t="n">
        <v>240000</v>
      </c>
      <c r="I352" s="23" t="n">
        <v>240000</v>
      </c>
      <c r="J352" s="23" t="inlineStr">
        <is>
          <t>efectivo</t>
        </is>
      </c>
    </row>
    <row r="353" hidden="1" customFormat="1" s="23">
      <c r="A353" s="38" t="n">
        <v>46102</v>
      </c>
      <c r="B353" s="23" t="inlineStr">
        <is>
          <t>Wilmar Ivis</t>
        </is>
      </c>
      <c r="C353" s="23" t="inlineStr">
        <is>
          <t>Bajaj KEW 27H</t>
        </is>
      </c>
      <c r="D353" s="23" t="inlineStr">
        <is>
          <t>KEW27H</t>
        </is>
      </c>
      <c r="H353" s="23" t="n">
        <v>240000</v>
      </c>
      <c r="I353" s="23" t="n">
        <v>240000</v>
      </c>
      <c r="J353" s="23" t="inlineStr">
        <is>
          <t>efectivo</t>
        </is>
      </c>
    </row>
    <row r="354" hidden="1" customFormat="1" s="23">
      <c r="A354" s="38" t="n">
        <v>46110</v>
      </c>
      <c r="B354" s="23" t="inlineStr">
        <is>
          <t>Wilmar Ivis</t>
        </is>
      </c>
      <c r="C354" s="23" t="inlineStr">
        <is>
          <t>Bajaj KEW 27H</t>
        </is>
      </c>
      <c r="D354" s="23" t="inlineStr">
        <is>
          <t>KEW27H</t>
        </is>
      </c>
      <c r="H354" s="23" t="n">
        <v>240000</v>
      </c>
      <c r="I354" s="23" t="n">
        <v>240000</v>
      </c>
      <c r="J354" s="23" t="inlineStr">
        <is>
          <t>efectivo</t>
        </is>
      </c>
    </row>
    <row r="355" hidden="1" customFormat="1" s="23">
      <c r="A355" s="38" t="n">
        <v>46119</v>
      </c>
      <c r="B355" s="23" t="inlineStr">
        <is>
          <t>Wilmar Ivis</t>
        </is>
      </c>
      <c r="C355" s="23" t="inlineStr">
        <is>
          <t>Bajaj KEW 27H</t>
        </is>
      </c>
      <c r="D355" s="23" t="inlineStr">
        <is>
          <t>KEW27H</t>
        </is>
      </c>
      <c r="H355" s="23" t="n">
        <v>240000</v>
      </c>
      <c r="I355" s="23" t="n">
        <v>240000</v>
      </c>
      <c r="J355" s="23" t="inlineStr">
        <is>
          <t>efectivo</t>
        </is>
      </c>
    </row>
    <row r="356" hidden="1" customFormat="1" s="23">
      <c r="A356" s="38" t="n">
        <v>46127</v>
      </c>
      <c r="B356" s="23" t="inlineStr">
        <is>
          <t>Wilmar Ivis</t>
        </is>
      </c>
      <c r="C356" s="23" t="inlineStr">
        <is>
          <t>Bajaj KEW 27H</t>
        </is>
      </c>
      <c r="D356" s="23" t="inlineStr">
        <is>
          <t>KEW27H</t>
        </is>
      </c>
      <c r="H356" s="23" t="n">
        <v>240000</v>
      </c>
      <c r="I356" s="23" t="n">
        <v>240000</v>
      </c>
      <c r="J356" s="23" t="inlineStr">
        <is>
          <t>efectivo</t>
        </is>
      </c>
    </row>
    <row r="357" hidden="1" customFormat="1" s="23">
      <c r="A357" s="38" t="n">
        <v>46135</v>
      </c>
      <c r="B357" s="23" t="inlineStr">
        <is>
          <t>Wilmar Ivis</t>
        </is>
      </c>
      <c r="C357" s="23" t="inlineStr">
        <is>
          <t>Bajaj KEW 27H</t>
        </is>
      </c>
      <c r="D357" s="23" t="inlineStr">
        <is>
          <t>KEW27H</t>
        </is>
      </c>
      <c r="H357" s="23" t="n">
        <v>240000</v>
      </c>
      <c r="I357" s="23" t="n">
        <v>240000</v>
      </c>
      <c r="J357" s="23" t="inlineStr">
        <is>
          <t>efectivo</t>
        </is>
      </c>
    </row>
    <row r="358" hidden="1" customFormat="1" s="23">
      <c r="A358" s="38" t="n">
        <v>46144</v>
      </c>
      <c r="B358" s="23" t="inlineStr">
        <is>
          <t>Wilmar Ivis</t>
        </is>
      </c>
      <c r="C358" s="23" t="inlineStr">
        <is>
          <t>Bajaj KEW 27H</t>
        </is>
      </c>
      <c r="D358" s="23" t="inlineStr">
        <is>
          <t>KEW27H</t>
        </is>
      </c>
      <c r="H358" s="23" t="n">
        <v>240000</v>
      </c>
      <c r="I358" s="23" t="n">
        <v>240000</v>
      </c>
      <c r="J358" s="23" t="inlineStr">
        <is>
          <t>efectivo</t>
        </is>
      </c>
    </row>
    <row r="359" hidden="1" customFormat="1" s="23">
      <c r="A359" s="38" t="n">
        <v>46152</v>
      </c>
      <c r="B359" s="23" t="inlineStr">
        <is>
          <t>Wilmar Ivis</t>
        </is>
      </c>
      <c r="C359" s="23" t="inlineStr">
        <is>
          <t>Bajaj KEW 27H</t>
        </is>
      </c>
      <c r="D359" s="23" t="inlineStr">
        <is>
          <t>KEW27H</t>
        </is>
      </c>
      <c r="H359" s="23" t="n">
        <v>240000</v>
      </c>
      <c r="I359" s="23" t="n">
        <v>240000</v>
      </c>
      <c r="J359" s="23" t="inlineStr">
        <is>
          <t>efectivo</t>
        </is>
      </c>
    </row>
    <row r="360" hidden="1" customFormat="1" s="23">
      <c r="A360" s="38" t="n">
        <v>46160</v>
      </c>
      <c r="B360" s="23" t="inlineStr">
        <is>
          <t>Wilmar Ivis</t>
        </is>
      </c>
      <c r="C360" s="23" t="inlineStr">
        <is>
          <t>Bajaj KEW 27H</t>
        </is>
      </c>
      <c r="D360" s="23" t="inlineStr">
        <is>
          <t>KEW27H</t>
        </is>
      </c>
      <c r="H360" s="23" t="n">
        <v>240000</v>
      </c>
      <c r="I360" s="23" t="n">
        <v>240000</v>
      </c>
      <c r="J360" s="23" t="inlineStr">
        <is>
          <t>efectivo</t>
        </is>
      </c>
    </row>
    <row r="361" hidden="1" customFormat="1" s="23">
      <c r="A361" s="38" t="n">
        <v>46168</v>
      </c>
      <c r="B361" s="23" t="inlineStr">
        <is>
          <t>Wilmar Ivis</t>
        </is>
      </c>
      <c r="C361" s="23" t="inlineStr">
        <is>
          <t>Bajaj KEW 27H</t>
        </is>
      </c>
      <c r="D361" s="23" t="inlineStr">
        <is>
          <t>KEW27H</t>
        </is>
      </c>
      <c r="H361" s="23" t="n">
        <v>240000</v>
      </c>
      <c r="I361" s="23" t="n">
        <v>240000</v>
      </c>
      <c r="J361" s="23" t="inlineStr">
        <is>
          <t>efectivo</t>
        </is>
      </c>
    </row>
    <row r="362" hidden="1" customFormat="1" s="23">
      <c r="A362" s="38" t="n">
        <v>46176</v>
      </c>
      <c r="B362" s="23" t="inlineStr">
        <is>
          <t>Wilmar Ivis</t>
        </is>
      </c>
      <c r="C362" s="23" t="inlineStr">
        <is>
          <t>Bajaj KEW 27H</t>
        </is>
      </c>
      <c r="D362" s="23" t="inlineStr">
        <is>
          <t>KEW27H</t>
        </is>
      </c>
      <c r="H362" s="23" t="n">
        <v>240000</v>
      </c>
      <c r="I362" s="23" t="n">
        <v>240000</v>
      </c>
      <c r="J362" s="23" t="inlineStr">
        <is>
          <t>efectivo</t>
        </is>
      </c>
    </row>
    <row r="363" hidden="1" customFormat="1" s="23">
      <c r="A363" s="38" t="n">
        <v>46184</v>
      </c>
      <c r="B363" s="23" t="inlineStr">
        <is>
          <t>Wilmar Ivis</t>
        </is>
      </c>
      <c r="C363" s="23" t="inlineStr">
        <is>
          <t>Bajaj KEW 27H</t>
        </is>
      </c>
      <c r="D363" s="23" t="inlineStr">
        <is>
          <t>KEW27H</t>
        </is>
      </c>
      <c r="H363" s="23" t="n">
        <v>240000</v>
      </c>
      <c r="I363" s="23" t="n">
        <v>240000</v>
      </c>
      <c r="J363" s="23" t="inlineStr">
        <is>
          <t>efectivo</t>
        </is>
      </c>
    </row>
    <row r="364" hidden="1" customFormat="1" s="23">
      <c r="A364" s="38" t="n">
        <v>46192</v>
      </c>
      <c r="B364" s="23" t="inlineStr">
        <is>
          <t>Wilmar Ivis</t>
        </is>
      </c>
      <c r="C364" s="23" t="inlineStr">
        <is>
          <t>Bajaj KEW 27H</t>
        </is>
      </c>
      <c r="D364" s="23" t="inlineStr">
        <is>
          <t>KEW27H</t>
        </is>
      </c>
      <c r="H364" s="23" t="n">
        <v>240000</v>
      </c>
      <c r="I364" s="23" t="n">
        <v>240000</v>
      </c>
      <c r="J364" s="23" t="inlineStr">
        <is>
          <t>efectivo</t>
        </is>
      </c>
    </row>
    <row r="365" hidden="1" customFormat="1" s="23">
      <c r="A365" s="38" t="n">
        <v>46201</v>
      </c>
      <c r="B365" s="23" t="inlineStr">
        <is>
          <t>Wilmar Ivis</t>
        </is>
      </c>
      <c r="C365" s="23" t="inlineStr">
        <is>
          <t>Bajaj KEW 27H</t>
        </is>
      </c>
      <c r="D365" s="23" t="inlineStr">
        <is>
          <t>KEW27H</t>
        </is>
      </c>
      <c r="H365" s="23" t="n">
        <v>240000</v>
      </c>
      <c r="I365" s="23" t="n">
        <v>240000</v>
      </c>
      <c r="J365" s="23" t="inlineStr">
        <is>
          <t>efectivo</t>
        </is>
      </c>
    </row>
    <row r="366" hidden="1" customFormat="1" s="23">
      <c r="A366" s="38" t="n">
        <v>46208</v>
      </c>
      <c r="B366" s="23" t="inlineStr">
        <is>
          <t>Wilmar Ivis</t>
        </is>
      </c>
      <c r="C366" s="23" t="inlineStr">
        <is>
          <t>Bajaj KEW 27H</t>
        </is>
      </c>
      <c r="D366" s="23" t="inlineStr">
        <is>
          <t>KEW27H</t>
        </is>
      </c>
      <c r="H366" s="23" t="n">
        <v>240000</v>
      </c>
      <c r="I366" s="23" t="n">
        <v>240000</v>
      </c>
      <c r="J366" s="23" t="inlineStr">
        <is>
          <t>efectivo</t>
        </is>
      </c>
    </row>
    <row r="367" hidden="1" customFormat="1" s="23">
      <c r="A367" s="38" t="n">
        <v>46217</v>
      </c>
      <c r="B367" s="23" t="inlineStr">
        <is>
          <t>Wilmar Ivis</t>
        </is>
      </c>
      <c r="C367" s="23" t="inlineStr">
        <is>
          <t>Bajaj KEW 27H</t>
        </is>
      </c>
      <c r="D367" s="23" t="inlineStr">
        <is>
          <t>KEW27H</t>
        </is>
      </c>
      <c r="H367" s="23" t="n">
        <v>240000</v>
      </c>
      <c r="I367" s="23" t="n">
        <v>240000</v>
      </c>
      <c r="J367" s="23" t="inlineStr">
        <is>
          <t>efectivo</t>
        </is>
      </c>
    </row>
    <row r="368" hidden="1" customFormat="1" s="23">
      <c r="A368" s="38" t="n">
        <v>46224</v>
      </c>
      <c r="B368" s="23" t="inlineStr">
        <is>
          <t>Wilmar Ivis</t>
        </is>
      </c>
      <c r="C368" s="23" t="inlineStr">
        <is>
          <t>Bajaj KEW 27H</t>
        </is>
      </c>
      <c r="D368" s="23" t="inlineStr">
        <is>
          <t>KEW27H</t>
        </is>
      </c>
      <c r="H368" s="23" t="n">
        <v>240000</v>
      </c>
      <c r="I368" s="23" t="n">
        <v>240000</v>
      </c>
      <c r="J368" s="23" t="inlineStr">
        <is>
          <t>efectivo</t>
        </is>
      </c>
    </row>
    <row r="369" hidden="1" customFormat="1" s="23">
      <c r="A369" s="38" t="n">
        <v>45785</v>
      </c>
      <c r="B369" s="23" t="inlineStr">
        <is>
          <t>Jesus Morales Yuliana Olivares</t>
        </is>
      </c>
      <c r="C369" s="23" t="inlineStr">
        <is>
          <t>Bajaj KFK 17H</t>
        </is>
      </c>
      <c r="D369" s="23" t="inlineStr">
        <is>
          <t>KFK17H</t>
        </is>
      </c>
      <c r="H369" s="23" t="n">
        <v>240000</v>
      </c>
      <c r="I369" s="23" t="n">
        <v>240000</v>
      </c>
      <c r="J369" s="23" t="inlineStr">
        <is>
          <t>efectivo</t>
        </is>
      </c>
    </row>
    <row r="370" hidden="1" customFormat="1" s="23">
      <c r="A370" s="38" t="n">
        <v>45793</v>
      </c>
      <c r="B370" s="23" t="inlineStr">
        <is>
          <t>Jesus Morales Yuliana Olivares</t>
        </is>
      </c>
      <c r="C370" s="23" t="inlineStr">
        <is>
          <t>Bajaj KFK 17H</t>
        </is>
      </c>
      <c r="D370" s="23" t="inlineStr">
        <is>
          <t>KFK17H</t>
        </is>
      </c>
      <c r="H370" s="23" t="n">
        <v>240000</v>
      </c>
      <c r="I370" s="23" t="n">
        <v>240000</v>
      </c>
      <c r="J370" s="23" t="inlineStr">
        <is>
          <t>efectivo</t>
        </is>
      </c>
    </row>
    <row r="371" hidden="1" customFormat="1" s="23">
      <c r="A371" s="38" t="n">
        <v>45801</v>
      </c>
      <c r="B371" s="23" t="inlineStr">
        <is>
          <t>Jesus Morales Yuliana Olivares</t>
        </is>
      </c>
      <c r="C371" s="23" t="inlineStr">
        <is>
          <t>Bajaj KFK 17H</t>
        </is>
      </c>
      <c r="D371" s="23" t="inlineStr">
        <is>
          <t>KFK17H</t>
        </is>
      </c>
      <c r="H371" s="23" t="n">
        <v>240000</v>
      </c>
      <c r="I371" s="23" t="n">
        <v>240000</v>
      </c>
      <c r="J371" s="23" t="inlineStr">
        <is>
          <t>efectivo</t>
        </is>
      </c>
    </row>
    <row r="372" hidden="1" customFormat="1" s="23">
      <c r="A372" s="38" t="n">
        <v>45809</v>
      </c>
      <c r="B372" s="23" t="inlineStr">
        <is>
          <t>Jesus Morales Yuliana Olivares</t>
        </is>
      </c>
      <c r="C372" s="23" t="inlineStr">
        <is>
          <t>Bajaj KFK 17H</t>
        </is>
      </c>
      <c r="D372" s="23" t="inlineStr">
        <is>
          <t>KFK17H</t>
        </is>
      </c>
      <c r="H372" s="23" t="n">
        <v>240000</v>
      </c>
      <c r="I372" s="23" t="n">
        <v>240000</v>
      </c>
      <c r="J372" s="23" t="inlineStr">
        <is>
          <t>efectivo</t>
        </is>
      </c>
    </row>
    <row r="373" hidden="1" customFormat="1" s="23">
      <c r="A373" s="38" t="n">
        <v>45817</v>
      </c>
      <c r="B373" s="23" t="inlineStr">
        <is>
          <t>Jesus Morales Yuliana Olivares</t>
        </is>
      </c>
      <c r="C373" s="23" t="inlineStr">
        <is>
          <t>Bajaj KFK 17H</t>
        </is>
      </c>
      <c r="D373" s="23" t="inlineStr">
        <is>
          <t>KFK17H</t>
        </is>
      </c>
      <c r="H373" s="23" t="n">
        <v>240000</v>
      </c>
      <c r="I373" s="23" t="n">
        <v>240000</v>
      </c>
      <c r="J373" s="23" t="inlineStr">
        <is>
          <t>efectivo</t>
        </is>
      </c>
    </row>
    <row r="374" hidden="1" customFormat="1" s="23">
      <c r="A374" s="38" t="n">
        <v>45825</v>
      </c>
      <c r="B374" s="23" t="inlineStr">
        <is>
          <t>Jesus Morales Yuliana Olivares</t>
        </is>
      </c>
      <c r="C374" s="23" t="inlineStr">
        <is>
          <t>Bajaj KFK 17H</t>
        </is>
      </c>
      <c r="D374" s="23" t="inlineStr">
        <is>
          <t>KFK17H</t>
        </is>
      </c>
      <c r="H374" s="23" t="n">
        <v>240000</v>
      </c>
      <c r="I374" s="23" t="n">
        <v>240000</v>
      </c>
      <c r="J374" s="23" t="inlineStr">
        <is>
          <t>efectivo</t>
        </is>
      </c>
    </row>
    <row r="375" hidden="1" customFormat="1" s="23">
      <c r="A375" s="38" t="n">
        <v>45833</v>
      </c>
      <c r="B375" s="23" t="inlineStr">
        <is>
          <t>Jesus Morales Yuliana Olivares</t>
        </is>
      </c>
      <c r="C375" s="23" t="inlineStr">
        <is>
          <t>Bajaj KFK 17H</t>
        </is>
      </c>
      <c r="D375" s="23" t="inlineStr">
        <is>
          <t>KFK17H</t>
        </is>
      </c>
      <c r="H375" s="23" t="n">
        <v>240000</v>
      </c>
      <c r="I375" s="23" t="n">
        <v>240000</v>
      </c>
      <c r="J375" s="23" t="inlineStr">
        <is>
          <t>efectivo</t>
        </is>
      </c>
    </row>
    <row r="376" hidden="1" customFormat="1" s="23">
      <c r="A376" s="38" t="n">
        <v>45841</v>
      </c>
      <c r="B376" s="23" t="inlineStr">
        <is>
          <t>Jesus Morales Yuliana Olivares</t>
        </is>
      </c>
      <c r="C376" s="23" t="inlineStr">
        <is>
          <t>Bajaj KFK 17H</t>
        </is>
      </c>
      <c r="D376" s="23" t="inlineStr">
        <is>
          <t>KFK17H</t>
        </is>
      </c>
      <c r="H376" s="23" t="n">
        <v>240000</v>
      </c>
      <c r="I376" s="23" t="n">
        <v>240000</v>
      </c>
      <c r="J376" s="23" t="inlineStr">
        <is>
          <t>efectivo</t>
        </is>
      </c>
    </row>
    <row r="377" hidden="1" customFormat="1" s="23">
      <c r="A377" s="38" t="n">
        <v>45849</v>
      </c>
      <c r="B377" s="23" t="inlineStr">
        <is>
          <t>Jesus Morales Yuliana Olivares</t>
        </is>
      </c>
      <c r="C377" s="23" t="inlineStr">
        <is>
          <t>Bajaj KFK 17H</t>
        </is>
      </c>
      <c r="D377" s="23" t="inlineStr">
        <is>
          <t>KFK17H</t>
        </is>
      </c>
      <c r="H377" s="23" t="n">
        <v>240000</v>
      </c>
      <c r="I377" s="23" t="n">
        <v>240000</v>
      </c>
      <c r="J377" s="23" t="inlineStr">
        <is>
          <t>efectivo</t>
        </is>
      </c>
    </row>
    <row r="378" hidden="1" customFormat="1" s="23">
      <c r="A378" s="38" t="n">
        <v>45857</v>
      </c>
      <c r="B378" s="23" t="inlineStr">
        <is>
          <t>Jesus Morales Yuliana Olivares</t>
        </is>
      </c>
      <c r="C378" s="23" t="inlineStr">
        <is>
          <t>Bajaj KFK 17H</t>
        </is>
      </c>
      <c r="D378" s="23" t="inlineStr">
        <is>
          <t>KFK17H</t>
        </is>
      </c>
      <c r="H378" s="23" t="n">
        <v>240000</v>
      </c>
      <c r="I378" s="23" t="n">
        <v>240000</v>
      </c>
      <c r="J378" s="23" t="inlineStr">
        <is>
          <t>efectivo</t>
        </is>
      </c>
    </row>
    <row r="379" hidden="1" customFormat="1" s="23">
      <c r="A379" s="38" t="n">
        <v>45865</v>
      </c>
      <c r="B379" s="23" t="inlineStr">
        <is>
          <t>Jesus Morales Yuliana Olivares</t>
        </is>
      </c>
      <c r="C379" s="23" t="inlineStr">
        <is>
          <t>Bajaj KFK 17H</t>
        </is>
      </c>
      <c r="D379" s="23" t="inlineStr">
        <is>
          <t>KFK17H</t>
        </is>
      </c>
      <c r="H379" s="23" t="n">
        <v>240000</v>
      </c>
      <c r="I379" s="23" t="n">
        <v>240000</v>
      </c>
      <c r="J379" s="23" t="inlineStr">
        <is>
          <t>efectivo</t>
        </is>
      </c>
    </row>
    <row r="380" hidden="1" customFormat="1" s="23">
      <c r="A380" s="38" t="n">
        <v>45873</v>
      </c>
      <c r="B380" s="23" t="inlineStr">
        <is>
          <t>Jesus Morales Yuliana Olivares</t>
        </is>
      </c>
      <c r="C380" s="23" t="inlineStr">
        <is>
          <t>Bajaj KFK 17H</t>
        </is>
      </c>
      <c r="D380" s="23" t="inlineStr">
        <is>
          <t>KFK17H</t>
        </is>
      </c>
      <c r="H380" s="23" t="n">
        <v>240000</v>
      </c>
      <c r="I380" s="23" t="n">
        <v>240000</v>
      </c>
      <c r="J380" s="23" t="inlineStr">
        <is>
          <t>efectivo</t>
        </is>
      </c>
    </row>
    <row r="381" hidden="1" customFormat="1" s="23">
      <c r="A381" s="38" t="n">
        <v>45881</v>
      </c>
      <c r="B381" s="23" t="inlineStr">
        <is>
          <t>Jesus Morales Yuliana Olivares</t>
        </is>
      </c>
      <c r="C381" s="23" t="inlineStr">
        <is>
          <t>Bajaj KFK 17H</t>
        </is>
      </c>
      <c r="D381" s="23" t="inlineStr">
        <is>
          <t>KFK17H</t>
        </is>
      </c>
      <c r="H381" s="23" t="n">
        <v>240000</v>
      </c>
      <c r="I381" s="23" t="n">
        <v>240000</v>
      </c>
      <c r="J381" s="23" t="inlineStr">
        <is>
          <t>efectivo</t>
        </is>
      </c>
    </row>
    <row r="382" hidden="1" customFormat="1" s="23">
      <c r="A382" s="38" t="n">
        <v>45890</v>
      </c>
      <c r="B382" s="23" t="inlineStr">
        <is>
          <t>Jesus Morales Yuliana Olivares</t>
        </is>
      </c>
      <c r="C382" s="23" t="inlineStr">
        <is>
          <t>Bajaj KFK 17H</t>
        </is>
      </c>
      <c r="D382" s="23" t="inlineStr">
        <is>
          <t>KFK17H</t>
        </is>
      </c>
      <c r="H382" s="23" t="n">
        <v>240000</v>
      </c>
      <c r="I382" s="23" t="n">
        <v>240000</v>
      </c>
      <c r="J382" s="23" t="inlineStr">
        <is>
          <t>efectivo</t>
        </is>
      </c>
    </row>
    <row r="383" hidden="1" customFormat="1" s="23">
      <c r="A383" s="38" t="n">
        <v>45898</v>
      </c>
      <c r="B383" s="23" t="inlineStr">
        <is>
          <t>Jesus Morales Yuliana Olivares</t>
        </is>
      </c>
      <c r="C383" s="23" t="inlineStr">
        <is>
          <t>Bajaj KFK 17H</t>
        </is>
      </c>
      <c r="D383" s="23" t="inlineStr">
        <is>
          <t>KFK17H</t>
        </is>
      </c>
      <c r="H383" s="23" t="n">
        <v>240000</v>
      </c>
      <c r="I383" s="23" t="n">
        <v>240000</v>
      </c>
      <c r="J383" s="23" t="inlineStr">
        <is>
          <t>efectivo</t>
        </is>
      </c>
    </row>
    <row r="384" hidden="1" customFormat="1" s="23">
      <c r="A384" s="38" t="n">
        <v>45906</v>
      </c>
      <c r="B384" s="23" t="inlineStr">
        <is>
          <t>Jesus Morales Yuliana Olivares</t>
        </is>
      </c>
      <c r="C384" s="23" t="inlineStr">
        <is>
          <t>Bajaj KFK 17H</t>
        </is>
      </c>
      <c r="D384" s="23" t="inlineStr">
        <is>
          <t>KFK17H</t>
        </is>
      </c>
      <c r="H384" s="23" t="n">
        <v>240000</v>
      </c>
      <c r="I384" s="23" t="n">
        <v>240000</v>
      </c>
      <c r="J384" s="23" t="inlineStr">
        <is>
          <t>efectivo</t>
        </is>
      </c>
    </row>
    <row r="385" hidden="1" customFormat="1" s="23">
      <c r="A385" s="38" t="n">
        <v>45915</v>
      </c>
      <c r="B385" s="23" t="inlineStr">
        <is>
          <t>Jesus Morales Yuliana Olivares</t>
        </is>
      </c>
      <c r="C385" s="23" t="inlineStr">
        <is>
          <t>Bajaj KFK 17H</t>
        </is>
      </c>
      <c r="D385" s="23" t="inlineStr">
        <is>
          <t>KFK17H</t>
        </is>
      </c>
      <c r="H385" s="23" t="n">
        <v>240000</v>
      </c>
      <c r="I385" s="23" t="n">
        <v>240000</v>
      </c>
      <c r="J385" s="23" t="inlineStr">
        <is>
          <t>efectivo</t>
        </is>
      </c>
    </row>
    <row r="386" hidden="1" customFormat="1" s="23">
      <c r="A386" s="38" t="n">
        <v>45923</v>
      </c>
      <c r="B386" s="23" t="inlineStr">
        <is>
          <t>Jesus Morales Yuliana Olivares</t>
        </is>
      </c>
      <c r="C386" s="23" t="inlineStr">
        <is>
          <t>Bajaj KFK 17H</t>
        </is>
      </c>
      <c r="D386" s="23" t="inlineStr">
        <is>
          <t>KFK17H</t>
        </is>
      </c>
      <c r="H386" s="23" t="n">
        <v>240000</v>
      </c>
      <c r="I386" s="23" t="n">
        <v>240000</v>
      </c>
      <c r="J386" s="23" t="inlineStr">
        <is>
          <t>efectivo</t>
        </is>
      </c>
    </row>
    <row r="387" hidden="1" customFormat="1" s="23">
      <c r="A387" s="38" t="n">
        <v>45931</v>
      </c>
      <c r="B387" s="23" t="inlineStr">
        <is>
          <t>Jesus Morales Yuliana Olivares</t>
        </is>
      </c>
      <c r="C387" s="23" t="inlineStr">
        <is>
          <t>Bajaj KFK 17H</t>
        </is>
      </c>
      <c r="D387" s="23" t="inlineStr">
        <is>
          <t>KFK17H</t>
        </is>
      </c>
      <c r="H387" s="23" t="n">
        <v>240000</v>
      </c>
      <c r="I387" s="23" t="n">
        <v>240000</v>
      </c>
      <c r="J387" s="23" t="inlineStr">
        <is>
          <t>efectivo</t>
        </is>
      </c>
    </row>
    <row r="388" hidden="1" customFormat="1" s="23">
      <c r="A388" s="38" t="n">
        <v>45940</v>
      </c>
      <c r="B388" s="23" t="inlineStr">
        <is>
          <t>Jesus Morales Yuliana Olivares</t>
        </is>
      </c>
      <c r="C388" s="23" t="inlineStr">
        <is>
          <t>Bajaj KFK 17H</t>
        </is>
      </c>
      <c r="D388" s="23" t="inlineStr">
        <is>
          <t>KFK17H</t>
        </is>
      </c>
      <c r="H388" s="23" t="n">
        <v>240000</v>
      </c>
      <c r="I388" s="23" t="n">
        <v>240000</v>
      </c>
      <c r="J388" s="23" t="inlineStr">
        <is>
          <t>efectivo</t>
        </is>
      </c>
    </row>
    <row r="389" hidden="1" customFormat="1" s="23">
      <c r="A389" s="38" t="n">
        <v>45948</v>
      </c>
      <c r="B389" s="23" t="inlineStr">
        <is>
          <t>Jesus Morales Yuliana Olivares</t>
        </is>
      </c>
      <c r="C389" s="23" t="inlineStr">
        <is>
          <t>Bajaj KFK 17H</t>
        </is>
      </c>
      <c r="D389" s="23" t="inlineStr">
        <is>
          <t>KFK17H</t>
        </is>
      </c>
      <c r="H389" s="23" t="n">
        <v>240000</v>
      </c>
      <c r="I389" s="23" t="n">
        <v>240000</v>
      </c>
      <c r="J389" s="23" t="inlineStr">
        <is>
          <t>efectivo</t>
        </is>
      </c>
    </row>
    <row r="390" hidden="1" customFormat="1" s="23">
      <c r="A390" s="38" t="n">
        <v>45956</v>
      </c>
      <c r="B390" s="23" t="inlineStr">
        <is>
          <t>Jesus Morales Yuliana Olivares</t>
        </is>
      </c>
      <c r="C390" s="23" t="inlineStr">
        <is>
          <t>Bajaj KFK 17H</t>
        </is>
      </c>
      <c r="D390" s="23" t="inlineStr">
        <is>
          <t>KFK17H</t>
        </is>
      </c>
      <c r="H390" s="23" t="n">
        <v>240000</v>
      </c>
      <c r="I390" s="23" t="n">
        <v>240000</v>
      </c>
      <c r="J390" s="23" t="inlineStr">
        <is>
          <t>efectivo</t>
        </is>
      </c>
    </row>
    <row r="391" hidden="1" customFormat="1" s="23">
      <c r="A391" s="38" t="n">
        <v>45964</v>
      </c>
      <c r="B391" s="23" t="inlineStr">
        <is>
          <t>Jesus Morales Yuliana Olivares</t>
        </is>
      </c>
      <c r="C391" s="23" t="inlineStr">
        <is>
          <t>Bajaj KFK 17H</t>
        </is>
      </c>
      <c r="D391" s="23" t="inlineStr">
        <is>
          <t>KFK17H</t>
        </is>
      </c>
      <c r="H391" s="23" t="n">
        <v>240000</v>
      </c>
      <c r="I391" s="23" t="n">
        <v>240000</v>
      </c>
      <c r="J391" s="23" t="inlineStr">
        <is>
          <t>efectivo</t>
        </is>
      </c>
    </row>
    <row r="392" hidden="1" customFormat="1" s="23">
      <c r="A392" s="38" t="n">
        <v>45972</v>
      </c>
      <c r="B392" s="23" t="inlineStr">
        <is>
          <t>Jesus Morales Yuliana Olivares</t>
        </is>
      </c>
      <c r="C392" s="23" t="inlineStr">
        <is>
          <t>Bajaj KFK 17H</t>
        </is>
      </c>
      <c r="D392" s="23" t="inlineStr">
        <is>
          <t>KFK17H</t>
        </is>
      </c>
      <c r="H392" s="23" t="n">
        <v>240000</v>
      </c>
      <c r="I392" s="23" t="n">
        <v>240000</v>
      </c>
      <c r="J392" s="23" t="inlineStr">
        <is>
          <t>efectivo</t>
        </is>
      </c>
    </row>
    <row r="393" hidden="1" customFormat="1" s="23">
      <c r="A393" s="38" t="n">
        <v>45980</v>
      </c>
      <c r="B393" s="23" t="inlineStr">
        <is>
          <t>Jesus Morales Yuliana Olivares</t>
        </is>
      </c>
      <c r="C393" s="23" t="inlineStr">
        <is>
          <t>Bajaj KFK 17H</t>
        </is>
      </c>
      <c r="D393" s="23" t="inlineStr">
        <is>
          <t>KFK17H</t>
        </is>
      </c>
      <c r="H393" s="23" t="n">
        <v>240000</v>
      </c>
      <c r="I393" s="23" t="n">
        <v>240000</v>
      </c>
      <c r="J393" s="23" t="inlineStr">
        <is>
          <t>efectivo</t>
        </is>
      </c>
    </row>
    <row r="394" hidden="1" customFormat="1" s="23">
      <c r="A394" s="38" t="n">
        <v>45988</v>
      </c>
      <c r="B394" s="23" t="inlineStr">
        <is>
          <t>Jesus Morales Yuliana Olivares</t>
        </is>
      </c>
      <c r="C394" s="23" t="inlineStr">
        <is>
          <t>Bajaj KFK 17H</t>
        </is>
      </c>
      <c r="D394" s="23" t="inlineStr">
        <is>
          <t>KFK17H</t>
        </is>
      </c>
      <c r="H394" s="23" t="n">
        <v>240000</v>
      </c>
      <c r="I394" s="23" t="n">
        <v>240000</v>
      </c>
      <c r="J394" s="23" t="inlineStr">
        <is>
          <t>efectivo</t>
        </is>
      </c>
    </row>
    <row r="395" hidden="1" customFormat="1" s="23">
      <c r="A395" s="38" t="n">
        <v>45996</v>
      </c>
      <c r="B395" s="23" t="inlineStr">
        <is>
          <t>Jesus Morales Yuliana Olivares</t>
        </is>
      </c>
      <c r="C395" s="23" t="inlineStr">
        <is>
          <t>Bajaj KFK 17H</t>
        </is>
      </c>
      <c r="D395" s="23" t="inlineStr">
        <is>
          <t>KFK17H</t>
        </is>
      </c>
      <c r="H395" s="23" t="n">
        <v>240000</v>
      </c>
      <c r="I395" s="23" t="n">
        <v>240000</v>
      </c>
      <c r="J395" s="23" t="inlineStr">
        <is>
          <t>efectivo</t>
        </is>
      </c>
    </row>
    <row r="396" hidden="1" customFormat="1" s="23">
      <c r="A396" s="38" t="n">
        <v>46004</v>
      </c>
      <c r="B396" s="23" t="inlineStr">
        <is>
          <t>Jesus Morales Yuliana Olivares</t>
        </is>
      </c>
      <c r="C396" s="23" t="inlineStr">
        <is>
          <t>Bajaj KFK 17H</t>
        </is>
      </c>
      <c r="D396" s="23" t="inlineStr">
        <is>
          <t>KFK17H</t>
        </is>
      </c>
      <c r="H396" s="23" t="n">
        <v>240000</v>
      </c>
      <c r="I396" s="23" t="n">
        <v>240000</v>
      </c>
      <c r="J396" s="23" t="inlineStr">
        <is>
          <t>efectivo</t>
        </is>
      </c>
    </row>
    <row r="397" hidden="1" customFormat="1" s="23">
      <c r="A397" s="38" t="n">
        <v>46013</v>
      </c>
      <c r="B397" s="23" t="inlineStr">
        <is>
          <t>Jesus Morales Yuliana Olivares</t>
        </is>
      </c>
      <c r="C397" s="23" t="inlineStr">
        <is>
          <t>Bajaj KFK 17H</t>
        </is>
      </c>
      <c r="D397" s="23" t="inlineStr">
        <is>
          <t>KFK17H</t>
        </is>
      </c>
      <c r="H397" s="23" t="n">
        <v>240000</v>
      </c>
      <c r="I397" s="23" t="n">
        <v>240000</v>
      </c>
      <c r="J397" s="23" t="inlineStr">
        <is>
          <t>efectivo</t>
        </is>
      </c>
    </row>
    <row r="398" hidden="1" customFormat="1" s="23">
      <c r="A398" s="38" t="n">
        <v>46028</v>
      </c>
      <c r="B398" s="23" t="inlineStr">
        <is>
          <t>Jesus Morales Yuliana Olivares</t>
        </is>
      </c>
      <c r="C398" s="23" t="inlineStr">
        <is>
          <t>Bajaj KFK 17H</t>
        </is>
      </c>
      <c r="D398" s="23" t="inlineStr">
        <is>
          <t>KFK17H</t>
        </is>
      </c>
      <c r="H398" s="23" t="n">
        <v>240000</v>
      </c>
      <c r="I398" s="23" t="n">
        <v>240000</v>
      </c>
      <c r="J398" s="23" t="inlineStr">
        <is>
          <t>efectivo</t>
        </is>
      </c>
    </row>
    <row r="399" hidden="1" customFormat="1" s="23">
      <c r="A399" s="38" t="n">
        <v>46036</v>
      </c>
      <c r="B399" s="23" t="inlineStr">
        <is>
          <t>Jesus Morales Yuliana Olivares</t>
        </is>
      </c>
      <c r="C399" s="23" t="inlineStr">
        <is>
          <t>Bajaj KFK 17H</t>
        </is>
      </c>
      <c r="D399" s="23" t="inlineStr">
        <is>
          <t>KFK17H</t>
        </is>
      </c>
      <c r="H399" s="23" t="n">
        <v>240000</v>
      </c>
      <c r="I399" s="23" t="n">
        <v>240000</v>
      </c>
      <c r="J399" s="23" t="inlineStr">
        <is>
          <t>efectivo</t>
        </is>
      </c>
    </row>
    <row r="400" hidden="1" customFormat="1" s="23">
      <c r="A400" s="38" t="n">
        <v>46045</v>
      </c>
      <c r="B400" s="23" t="inlineStr">
        <is>
          <t>Jesus Morales Yuliana Olivares</t>
        </is>
      </c>
      <c r="C400" s="23" t="inlineStr">
        <is>
          <t>Bajaj KFK 17H</t>
        </is>
      </c>
      <c r="D400" s="23" t="inlineStr">
        <is>
          <t>KFK17H</t>
        </is>
      </c>
      <c r="H400" s="23" t="n">
        <v>240000</v>
      </c>
      <c r="I400" s="23" t="n">
        <v>240000</v>
      </c>
      <c r="J400" s="23" t="inlineStr">
        <is>
          <t>efectivo</t>
        </is>
      </c>
    </row>
    <row r="401" hidden="1" customFormat="1" s="23">
      <c r="A401" s="38" t="n">
        <v>46053</v>
      </c>
      <c r="B401" s="23" t="inlineStr">
        <is>
          <t>Jesus Morales Yuliana Olivares</t>
        </is>
      </c>
      <c r="C401" s="23" t="inlineStr">
        <is>
          <t>Bajaj KFK 17H</t>
        </is>
      </c>
      <c r="D401" s="23" t="inlineStr">
        <is>
          <t>KFK17H</t>
        </is>
      </c>
      <c r="H401" s="23" t="n">
        <v>240000</v>
      </c>
      <c r="I401" s="23" t="n">
        <v>240000</v>
      </c>
      <c r="J401" s="23" t="inlineStr">
        <is>
          <t>efectivo</t>
        </is>
      </c>
    </row>
    <row r="402" hidden="1" customFormat="1" s="23">
      <c r="A402" s="38" t="n">
        <v>46063</v>
      </c>
      <c r="B402" s="23" t="inlineStr">
        <is>
          <t>Jesus Morales Yuliana Olivares</t>
        </is>
      </c>
      <c r="C402" s="23" t="inlineStr">
        <is>
          <t>Bajaj KFK 17H</t>
        </is>
      </c>
      <c r="D402" s="23" t="inlineStr">
        <is>
          <t>KFK17H</t>
        </is>
      </c>
      <c r="H402" s="23" t="n">
        <v>240000</v>
      </c>
      <c r="I402" s="23" t="n">
        <v>240000</v>
      </c>
      <c r="J402" s="23" t="inlineStr">
        <is>
          <t>efectivo</t>
        </is>
      </c>
    </row>
    <row r="403" hidden="1" customFormat="1" s="23">
      <c r="A403" s="38" t="n">
        <v>46071</v>
      </c>
      <c r="B403" s="23" t="inlineStr">
        <is>
          <t>Jesus Morales Yuliana Olivares</t>
        </is>
      </c>
      <c r="C403" s="23" t="inlineStr">
        <is>
          <t>Bajaj KFK 17H</t>
        </is>
      </c>
      <c r="D403" s="23" t="inlineStr">
        <is>
          <t>KFK17H</t>
        </is>
      </c>
      <c r="H403" s="23" t="n">
        <v>240000</v>
      </c>
      <c r="I403" s="23" t="n">
        <v>240000</v>
      </c>
      <c r="J403" s="23" t="inlineStr">
        <is>
          <t>efectivo</t>
        </is>
      </c>
    </row>
    <row r="404" hidden="1" customFormat="1" s="23">
      <c r="A404" s="38" t="n">
        <v>46080</v>
      </c>
      <c r="B404" s="23" t="inlineStr">
        <is>
          <t>Jesus Morales Yuliana Olivares</t>
        </is>
      </c>
      <c r="C404" s="23" t="inlineStr">
        <is>
          <t>Bajaj KFK 17H</t>
        </is>
      </c>
      <c r="D404" s="23" t="inlineStr">
        <is>
          <t>KFK17H</t>
        </is>
      </c>
      <c r="H404" s="23" t="n">
        <v>240000</v>
      </c>
      <c r="I404" s="23" t="n">
        <v>240000</v>
      </c>
      <c r="J404" s="23" t="inlineStr">
        <is>
          <t>efectivo</t>
        </is>
      </c>
    </row>
    <row r="405" hidden="1" customFormat="1" s="23">
      <c r="A405" s="38" t="n">
        <v>46089</v>
      </c>
      <c r="B405" s="23" t="inlineStr">
        <is>
          <t>Jesus Morales Yuliana Olivares</t>
        </is>
      </c>
      <c r="C405" s="23" t="inlineStr">
        <is>
          <t>Bajaj KFK 17H</t>
        </is>
      </c>
      <c r="D405" s="23" t="inlineStr">
        <is>
          <t>KFK17H</t>
        </is>
      </c>
      <c r="H405" s="23" t="n">
        <v>240000</v>
      </c>
      <c r="I405" s="23" t="n">
        <v>240000</v>
      </c>
      <c r="J405" s="23" t="inlineStr">
        <is>
          <t>efectivo</t>
        </is>
      </c>
    </row>
    <row r="406" hidden="1" customFormat="1" s="23">
      <c r="A406" s="38" t="n">
        <v>46099</v>
      </c>
      <c r="B406" s="23" t="inlineStr">
        <is>
          <t>Jesus Morales Yuliana Olivares</t>
        </is>
      </c>
      <c r="C406" s="23" t="inlineStr">
        <is>
          <t>Bajaj KFK 17H</t>
        </is>
      </c>
      <c r="D406" s="23" t="inlineStr">
        <is>
          <t>KFK17H</t>
        </is>
      </c>
      <c r="H406" s="23" t="n">
        <v>240000</v>
      </c>
      <c r="I406" s="23" t="n">
        <v>240000</v>
      </c>
      <c r="J406" s="23" t="inlineStr">
        <is>
          <t>efectivo</t>
        </is>
      </c>
    </row>
    <row r="407" hidden="1" customFormat="1" s="23">
      <c r="A407" s="38" t="n">
        <v>46107</v>
      </c>
      <c r="B407" s="23" t="inlineStr">
        <is>
          <t>Jesus Morales Yuliana Olivares</t>
        </is>
      </c>
      <c r="C407" s="23" t="inlineStr">
        <is>
          <t>Bajaj KFK 17H</t>
        </is>
      </c>
      <c r="D407" s="23" t="inlineStr">
        <is>
          <t>KFK17H</t>
        </is>
      </c>
      <c r="H407" s="23" t="n">
        <v>240000</v>
      </c>
      <c r="I407" s="23" t="n">
        <v>240000</v>
      </c>
      <c r="J407" s="23" t="inlineStr">
        <is>
          <t>efectivo</t>
        </is>
      </c>
    </row>
    <row r="408" hidden="1" customFormat="1" s="23">
      <c r="A408" s="38" t="n">
        <v>46118</v>
      </c>
      <c r="B408" s="23" t="inlineStr">
        <is>
          <t>Jesus Morales Yuliana Olivares</t>
        </is>
      </c>
      <c r="C408" s="23" t="inlineStr">
        <is>
          <t>Bajaj KFK 17H</t>
        </is>
      </c>
      <c r="D408" s="23" t="inlineStr">
        <is>
          <t>KFK17H</t>
        </is>
      </c>
      <c r="H408" s="23" t="n">
        <v>240000</v>
      </c>
      <c r="I408" s="23" t="n">
        <v>240000</v>
      </c>
      <c r="J408" s="23" t="inlineStr">
        <is>
          <t>efectivo</t>
        </is>
      </c>
    </row>
    <row r="409" hidden="1" customFormat="1" s="23">
      <c r="A409" s="38" t="n">
        <v>46126</v>
      </c>
      <c r="B409" s="23" t="inlineStr">
        <is>
          <t>Jesus Morales Yuliana Olivares</t>
        </is>
      </c>
      <c r="C409" s="23" t="inlineStr">
        <is>
          <t>Bajaj KFK 17H</t>
        </is>
      </c>
      <c r="D409" s="23" t="inlineStr">
        <is>
          <t>KFK17H</t>
        </is>
      </c>
      <c r="H409" s="23" t="n">
        <v>240000</v>
      </c>
      <c r="I409" s="23" t="n">
        <v>240000</v>
      </c>
      <c r="J409" s="23" t="inlineStr">
        <is>
          <t>efectivo</t>
        </is>
      </c>
    </row>
    <row r="410" hidden="1" customFormat="1" s="23">
      <c r="A410" s="38" t="n">
        <v>46135</v>
      </c>
      <c r="B410" s="23" t="inlineStr">
        <is>
          <t>Jesus Morales Yuliana Olivares</t>
        </is>
      </c>
      <c r="C410" s="23" t="inlineStr">
        <is>
          <t>Bajaj KFK 17H</t>
        </is>
      </c>
      <c r="D410" s="23" t="inlineStr">
        <is>
          <t>KFK17H</t>
        </is>
      </c>
      <c r="H410" s="23" t="n">
        <v>240000</v>
      </c>
      <c r="I410" s="23" t="n">
        <v>240000</v>
      </c>
      <c r="J410" s="23" t="inlineStr">
        <is>
          <t>efectivo</t>
        </is>
      </c>
    </row>
    <row r="411" hidden="1" customFormat="1" s="23">
      <c r="A411" s="38" t="n">
        <v>46144</v>
      </c>
      <c r="B411" s="23" t="inlineStr">
        <is>
          <t>Jesus Morales Yuliana Olivares</t>
        </is>
      </c>
      <c r="C411" s="23" t="inlineStr">
        <is>
          <t>Bajaj KFK 17H</t>
        </is>
      </c>
      <c r="D411" s="23" t="inlineStr">
        <is>
          <t>KFK17H</t>
        </is>
      </c>
      <c r="H411" s="23" t="n">
        <v>240000</v>
      </c>
      <c r="I411" s="23" t="n">
        <v>240000</v>
      </c>
      <c r="J411" s="23" t="inlineStr">
        <is>
          <t>efectivo</t>
        </is>
      </c>
    </row>
    <row r="412" hidden="1" customFormat="1" s="23">
      <c r="A412" s="38" t="n">
        <v>46152</v>
      </c>
      <c r="B412" s="23" t="inlineStr">
        <is>
          <t>Jesus Morales Yuliana Olivares</t>
        </is>
      </c>
      <c r="C412" s="23" t="inlineStr">
        <is>
          <t>Bajaj KFK 17H</t>
        </is>
      </c>
      <c r="D412" s="23" t="inlineStr">
        <is>
          <t>KFK17H</t>
        </is>
      </c>
      <c r="H412" s="23" t="n">
        <v>240000</v>
      </c>
      <c r="I412" s="23" t="n">
        <v>240000</v>
      </c>
      <c r="J412" s="23" t="inlineStr">
        <is>
          <t>efectivo</t>
        </is>
      </c>
    </row>
    <row r="413" hidden="1" customFormat="1" s="23">
      <c r="A413" s="38" t="n">
        <v>46160</v>
      </c>
      <c r="B413" s="23" t="inlineStr">
        <is>
          <t>Jesus Morales Yuliana Olivares</t>
        </is>
      </c>
      <c r="C413" s="23" t="inlineStr">
        <is>
          <t>Bajaj KFK 17H</t>
        </is>
      </c>
      <c r="D413" s="23" t="inlineStr">
        <is>
          <t>KFK17H</t>
        </is>
      </c>
      <c r="H413" s="23" t="n">
        <v>240000</v>
      </c>
      <c r="I413" s="23" t="n">
        <v>240000</v>
      </c>
      <c r="J413" s="23" t="inlineStr">
        <is>
          <t>efectivo</t>
        </is>
      </c>
    </row>
    <row r="414" hidden="1" customFormat="1" s="23">
      <c r="A414" s="38" t="n">
        <v>46168</v>
      </c>
      <c r="B414" s="23" t="inlineStr">
        <is>
          <t>Jesus Morales Yuliana Olivares</t>
        </is>
      </c>
      <c r="C414" s="23" t="inlineStr">
        <is>
          <t>Bajaj KFK 17H</t>
        </is>
      </c>
      <c r="D414" s="23" t="inlineStr">
        <is>
          <t>KFK17H</t>
        </is>
      </c>
      <c r="H414" s="23" t="n">
        <v>240000</v>
      </c>
      <c r="I414" s="23" t="n">
        <v>240000</v>
      </c>
      <c r="J414" s="23" t="inlineStr">
        <is>
          <t>efectivo</t>
        </is>
      </c>
    </row>
    <row r="415" hidden="1" customFormat="1" s="23">
      <c r="A415" s="38" t="n">
        <v>46176</v>
      </c>
      <c r="B415" s="23" t="inlineStr">
        <is>
          <t>Jesus Morales Yuliana Olivares</t>
        </is>
      </c>
      <c r="C415" s="23" t="inlineStr">
        <is>
          <t>Bajaj KFK 17H</t>
        </is>
      </c>
      <c r="D415" s="23" t="inlineStr">
        <is>
          <t>KFK17H</t>
        </is>
      </c>
      <c r="H415" s="23" t="n">
        <v>240000</v>
      </c>
      <c r="I415" s="23" t="n">
        <v>240000</v>
      </c>
      <c r="J415" s="23" t="inlineStr">
        <is>
          <t>efectivo</t>
        </is>
      </c>
    </row>
    <row r="416" hidden="1" customFormat="1" s="23">
      <c r="A416" s="38" t="n">
        <v>46185</v>
      </c>
      <c r="B416" s="23" t="inlineStr">
        <is>
          <t>Jesus Morales Yuliana Olivares</t>
        </is>
      </c>
      <c r="C416" s="23" t="inlineStr">
        <is>
          <t>Bajaj KFK 17H</t>
        </is>
      </c>
      <c r="D416" s="23" t="inlineStr">
        <is>
          <t>KFK17H</t>
        </is>
      </c>
      <c r="H416" s="23" t="n">
        <v>240000</v>
      </c>
      <c r="I416" s="23" t="n">
        <v>240000</v>
      </c>
      <c r="J416" s="23" t="inlineStr">
        <is>
          <t>efectivo</t>
        </is>
      </c>
    </row>
    <row r="417" hidden="1" customFormat="1" s="23">
      <c r="A417" s="38" t="n">
        <v>46194</v>
      </c>
      <c r="B417" s="23" t="inlineStr">
        <is>
          <t>Jesus Morales Yuliana Olivares</t>
        </is>
      </c>
      <c r="C417" s="23" t="inlineStr">
        <is>
          <t>Bajaj KFK 17H</t>
        </is>
      </c>
      <c r="D417" s="23" t="inlineStr">
        <is>
          <t>KFK17H</t>
        </is>
      </c>
      <c r="H417" s="23" t="n">
        <v>240000</v>
      </c>
      <c r="I417" s="23" t="n">
        <v>240000</v>
      </c>
      <c r="J417" s="23" t="inlineStr">
        <is>
          <t>efectivo</t>
        </is>
      </c>
    </row>
    <row r="418" hidden="1" customFormat="1" s="23">
      <c r="A418" s="38" t="n">
        <v>46203</v>
      </c>
      <c r="B418" s="23" t="inlineStr">
        <is>
          <t>Jesus Morales Yuliana Olivares</t>
        </is>
      </c>
      <c r="C418" s="23" t="inlineStr">
        <is>
          <t>Bajaj KFK 17H</t>
        </is>
      </c>
      <c r="D418" s="23" t="inlineStr">
        <is>
          <t>KFK17H</t>
        </is>
      </c>
      <c r="H418" s="23" t="n">
        <v>240000</v>
      </c>
      <c r="I418" s="23" t="n">
        <v>240000</v>
      </c>
      <c r="J418" s="23" t="inlineStr">
        <is>
          <t>efectivo</t>
        </is>
      </c>
    </row>
    <row r="419" hidden="1" customFormat="1" s="23">
      <c r="A419" s="38" t="n">
        <v>46211</v>
      </c>
      <c r="B419" s="23" t="inlineStr">
        <is>
          <t>Jesus Morales Yuliana Olivares</t>
        </is>
      </c>
      <c r="C419" s="23" t="inlineStr">
        <is>
          <t>Bajaj KFK 17H</t>
        </is>
      </c>
      <c r="D419" s="23" t="inlineStr">
        <is>
          <t>KFK17H</t>
        </is>
      </c>
      <c r="H419" s="23" t="n">
        <v>240000</v>
      </c>
      <c r="I419" s="23" t="n">
        <v>240000</v>
      </c>
      <c r="J419" s="23" t="inlineStr">
        <is>
          <t>efectivo</t>
        </is>
      </c>
    </row>
    <row r="420" hidden="1" customFormat="1" s="23">
      <c r="A420" s="38" t="n">
        <v>46220</v>
      </c>
      <c r="B420" s="23" t="inlineStr">
        <is>
          <t>Jesus Morales Yuliana Olivares</t>
        </is>
      </c>
      <c r="C420" s="23" t="inlineStr">
        <is>
          <t>Bajaj KFK 17H</t>
        </is>
      </c>
      <c r="D420" s="23" t="inlineStr">
        <is>
          <t>KFK17H</t>
        </is>
      </c>
      <c r="H420" s="23" t="n">
        <v>240000</v>
      </c>
      <c r="I420" s="23" t="n">
        <v>240000</v>
      </c>
      <c r="J420" s="23" t="inlineStr">
        <is>
          <t>efectivo</t>
        </is>
      </c>
    </row>
    <row r="421" hidden="1" customFormat="1" s="23">
      <c r="A421" s="38" t="n">
        <v>45792</v>
      </c>
      <c r="B421" s="23" t="inlineStr">
        <is>
          <t>Asmed Brenda</t>
        </is>
      </c>
      <c r="C421" s="23" t="inlineStr">
        <is>
          <t>Bajaj OSZ 46H</t>
        </is>
      </c>
      <c r="D421" s="23" t="inlineStr">
        <is>
          <t>OSZ46H</t>
        </is>
      </c>
      <c r="H421" s="23" t="n">
        <v>240000</v>
      </c>
      <c r="I421" s="23" t="n">
        <v>240000</v>
      </c>
      <c r="J421" s="23" t="inlineStr">
        <is>
          <t>efectivo</t>
        </is>
      </c>
    </row>
    <row r="422" hidden="1" customFormat="1" s="23">
      <c r="A422" s="38" t="n">
        <v>45799</v>
      </c>
      <c r="B422" s="23" t="inlineStr">
        <is>
          <t>Asmed Brenda</t>
        </is>
      </c>
      <c r="C422" s="23" t="inlineStr">
        <is>
          <t>Bajaj OSZ 46H</t>
        </is>
      </c>
      <c r="D422" s="23" t="inlineStr">
        <is>
          <t>OSZ46H</t>
        </is>
      </c>
      <c r="H422" s="23" t="n">
        <v>240000</v>
      </c>
      <c r="I422" s="23" t="n">
        <v>240000</v>
      </c>
      <c r="J422" s="23" t="inlineStr">
        <is>
          <t>efectivo</t>
        </is>
      </c>
    </row>
    <row r="423" hidden="1" customFormat="1" s="23">
      <c r="A423" s="38" t="n">
        <v>45806</v>
      </c>
      <c r="B423" s="23" t="inlineStr">
        <is>
          <t>Asmed Brenda</t>
        </is>
      </c>
      <c r="C423" s="23" t="inlineStr">
        <is>
          <t>Bajaj OSZ 46H</t>
        </is>
      </c>
      <c r="D423" s="23" t="inlineStr">
        <is>
          <t>OSZ46H</t>
        </is>
      </c>
      <c r="H423" s="23" t="n">
        <v>240000</v>
      </c>
      <c r="I423" s="23" t="n">
        <v>240000</v>
      </c>
      <c r="J423" s="23" t="inlineStr">
        <is>
          <t>efectivo</t>
        </is>
      </c>
    </row>
    <row r="424" hidden="1" customFormat="1" s="23">
      <c r="A424" s="38" t="n">
        <v>45813</v>
      </c>
      <c r="B424" s="23" t="inlineStr">
        <is>
          <t>Asmed Brenda</t>
        </is>
      </c>
      <c r="C424" s="23" t="inlineStr">
        <is>
          <t>Bajaj OSZ 46H</t>
        </is>
      </c>
      <c r="D424" s="23" t="inlineStr">
        <is>
          <t>OSZ46H</t>
        </is>
      </c>
      <c r="H424" s="23" t="n">
        <v>240000</v>
      </c>
      <c r="I424" s="23" t="n">
        <v>240000</v>
      </c>
      <c r="J424" s="23" t="inlineStr">
        <is>
          <t>efectivo</t>
        </is>
      </c>
    </row>
    <row r="425" hidden="1" customFormat="1" s="23">
      <c r="A425" s="38" t="n">
        <v>45820</v>
      </c>
      <c r="B425" s="23" t="inlineStr">
        <is>
          <t>Asmed Brenda</t>
        </is>
      </c>
      <c r="C425" s="23" t="inlineStr">
        <is>
          <t>Bajaj OSZ 46H</t>
        </is>
      </c>
      <c r="D425" s="23" t="inlineStr">
        <is>
          <t>OSZ46H</t>
        </is>
      </c>
      <c r="H425" s="23" t="n">
        <v>240000</v>
      </c>
      <c r="I425" s="23" t="n">
        <v>240000</v>
      </c>
      <c r="J425" s="23" t="inlineStr">
        <is>
          <t>efectivo</t>
        </is>
      </c>
    </row>
    <row r="426" hidden="1" customFormat="1" s="23">
      <c r="A426" s="38" t="n">
        <v>45828</v>
      </c>
      <c r="B426" s="23" t="inlineStr">
        <is>
          <t>Asmed Brenda</t>
        </is>
      </c>
      <c r="C426" s="23" t="inlineStr">
        <is>
          <t>Bajaj OSZ 46H</t>
        </is>
      </c>
      <c r="D426" s="23" t="inlineStr">
        <is>
          <t>OSZ46H</t>
        </is>
      </c>
      <c r="H426" s="23" t="n">
        <v>240000</v>
      </c>
      <c r="I426" s="23" t="n">
        <v>240000</v>
      </c>
      <c r="J426" s="23" t="inlineStr">
        <is>
          <t>efectivo</t>
        </is>
      </c>
    </row>
    <row r="427" hidden="1" customFormat="1" s="23">
      <c r="A427" s="38" t="n">
        <v>45835</v>
      </c>
      <c r="B427" s="23" t="inlineStr">
        <is>
          <t>Asmed Brenda</t>
        </is>
      </c>
      <c r="C427" s="23" t="inlineStr">
        <is>
          <t>Bajaj OSZ 46H</t>
        </is>
      </c>
      <c r="D427" s="23" t="inlineStr">
        <is>
          <t>OSZ46H</t>
        </is>
      </c>
      <c r="H427" s="23" t="n">
        <v>240000</v>
      </c>
      <c r="I427" s="23" t="n">
        <v>240000</v>
      </c>
      <c r="J427" s="23" t="inlineStr">
        <is>
          <t>efectivo</t>
        </is>
      </c>
    </row>
    <row r="428" hidden="1" customFormat="1" s="23">
      <c r="A428" s="38" t="n">
        <v>45842</v>
      </c>
      <c r="B428" s="23" t="inlineStr">
        <is>
          <t>Asmed Brenda</t>
        </is>
      </c>
      <c r="C428" s="23" t="inlineStr">
        <is>
          <t>Bajaj OSZ 46H</t>
        </is>
      </c>
      <c r="D428" s="23" t="inlineStr">
        <is>
          <t>OSZ46H</t>
        </is>
      </c>
      <c r="H428" s="23" t="n">
        <v>240000</v>
      </c>
      <c r="I428" s="23" t="n">
        <v>240000</v>
      </c>
      <c r="J428" s="23" t="inlineStr">
        <is>
          <t>efectivo</t>
        </is>
      </c>
    </row>
    <row r="429" hidden="1" customFormat="1" s="23">
      <c r="A429" s="38" t="n">
        <v>45849</v>
      </c>
      <c r="B429" s="23" t="inlineStr">
        <is>
          <t>Asmed Brenda</t>
        </is>
      </c>
      <c r="C429" s="23" t="inlineStr">
        <is>
          <t>Bajaj OSZ 46H</t>
        </is>
      </c>
      <c r="D429" s="23" t="inlineStr">
        <is>
          <t>OSZ46H</t>
        </is>
      </c>
      <c r="H429" s="23" t="n">
        <v>240000</v>
      </c>
      <c r="I429" s="23" t="n">
        <v>240000</v>
      </c>
      <c r="J429" s="23" t="inlineStr">
        <is>
          <t>efectivo</t>
        </is>
      </c>
    </row>
    <row r="430" hidden="1" customFormat="1" s="23">
      <c r="A430" s="38" t="n">
        <v>45856</v>
      </c>
      <c r="B430" s="23" t="inlineStr">
        <is>
          <t>Asmed Brenda</t>
        </is>
      </c>
      <c r="C430" s="23" t="inlineStr">
        <is>
          <t>Bajaj OSZ 46H</t>
        </is>
      </c>
      <c r="D430" s="23" t="inlineStr">
        <is>
          <t>OSZ46H</t>
        </is>
      </c>
      <c r="H430" s="23" t="n">
        <v>240000</v>
      </c>
      <c r="I430" s="23" t="n">
        <v>240000</v>
      </c>
      <c r="J430" s="23" t="inlineStr">
        <is>
          <t>efectivo</t>
        </is>
      </c>
    </row>
    <row r="431" hidden="1" customFormat="1" s="23">
      <c r="A431" s="38" t="n">
        <v>45863</v>
      </c>
      <c r="B431" s="23" t="inlineStr">
        <is>
          <t>Asmed Brenda</t>
        </is>
      </c>
      <c r="C431" s="23" t="inlineStr">
        <is>
          <t>Bajaj OSZ 46H</t>
        </is>
      </c>
      <c r="D431" s="23" t="inlineStr">
        <is>
          <t>OSZ46H</t>
        </is>
      </c>
      <c r="H431" s="23" t="n">
        <v>240000</v>
      </c>
      <c r="I431" s="23" t="n">
        <v>240000</v>
      </c>
      <c r="J431" s="23" t="inlineStr">
        <is>
          <t>efectivo</t>
        </is>
      </c>
    </row>
    <row r="432" hidden="1" customFormat="1" s="23">
      <c r="A432" s="38" t="n">
        <v>45870</v>
      </c>
      <c r="B432" s="23" t="inlineStr">
        <is>
          <t>Asmed Brenda</t>
        </is>
      </c>
      <c r="C432" s="23" t="inlineStr">
        <is>
          <t>Bajaj OSZ 46H</t>
        </is>
      </c>
      <c r="D432" s="23" t="inlineStr">
        <is>
          <t>OSZ46H</t>
        </is>
      </c>
      <c r="H432" s="23" t="n">
        <v>240000</v>
      </c>
      <c r="I432" s="23" t="n">
        <v>240000</v>
      </c>
      <c r="J432" s="23" t="inlineStr">
        <is>
          <t>efectivo</t>
        </is>
      </c>
    </row>
    <row r="433" hidden="1" customFormat="1" s="23">
      <c r="A433" s="38" t="n">
        <v>45878</v>
      </c>
      <c r="B433" s="23" t="inlineStr">
        <is>
          <t>Asmed Brenda</t>
        </is>
      </c>
      <c r="C433" s="23" t="inlineStr">
        <is>
          <t>Bajaj OSZ 46H</t>
        </is>
      </c>
      <c r="D433" s="23" t="inlineStr">
        <is>
          <t>OSZ46H</t>
        </is>
      </c>
      <c r="H433" s="23" t="n">
        <v>240000</v>
      </c>
      <c r="I433" s="23" t="n">
        <v>240000</v>
      </c>
      <c r="J433" s="23" t="inlineStr">
        <is>
          <t>efectivo</t>
        </is>
      </c>
    </row>
    <row r="434" hidden="1" customFormat="1" s="23">
      <c r="A434" s="38" t="n">
        <v>45885</v>
      </c>
      <c r="B434" s="23" t="inlineStr">
        <is>
          <t>Asmed Brenda</t>
        </is>
      </c>
      <c r="C434" s="23" t="inlineStr">
        <is>
          <t>Bajaj OSZ 46H</t>
        </is>
      </c>
      <c r="D434" s="23" t="inlineStr">
        <is>
          <t>OSZ46H</t>
        </is>
      </c>
      <c r="H434" s="23" t="n">
        <v>240000</v>
      </c>
      <c r="I434" s="23" t="n">
        <v>240000</v>
      </c>
      <c r="J434" s="23" t="inlineStr">
        <is>
          <t>efectivo</t>
        </is>
      </c>
    </row>
    <row r="435" hidden="1" customFormat="1" s="23">
      <c r="A435" s="38" t="n">
        <v>45892</v>
      </c>
      <c r="B435" s="23" t="inlineStr">
        <is>
          <t>Asmed Brenda</t>
        </is>
      </c>
      <c r="C435" s="23" t="inlineStr">
        <is>
          <t>Bajaj OSZ 46H</t>
        </is>
      </c>
      <c r="D435" s="23" t="inlineStr">
        <is>
          <t>OSZ46H</t>
        </is>
      </c>
      <c r="H435" s="23" t="n">
        <v>240000</v>
      </c>
      <c r="I435" s="23" t="n">
        <v>240000</v>
      </c>
      <c r="J435" s="23" t="inlineStr">
        <is>
          <t>efectivo</t>
        </is>
      </c>
    </row>
    <row r="436" hidden="1" customFormat="1" s="23">
      <c r="A436" s="38" t="n">
        <v>45900</v>
      </c>
      <c r="B436" s="23" t="inlineStr">
        <is>
          <t>Asmed Brenda</t>
        </is>
      </c>
      <c r="C436" s="23" t="inlineStr">
        <is>
          <t>Bajaj OSZ 46H</t>
        </is>
      </c>
      <c r="D436" s="23" t="inlineStr">
        <is>
          <t>OSZ46H</t>
        </is>
      </c>
      <c r="H436" s="23" t="n">
        <v>240000</v>
      </c>
      <c r="I436" s="23" t="n">
        <v>240000</v>
      </c>
      <c r="J436" s="23" t="inlineStr">
        <is>
          <t>efectivo</t>
        </is>
      </c>
    </row>
    <row r="437" hidden="1" customFormat="1" s="23">
      <c r="A437" s="38" t="n">
        <v>45907</v>
      </c>
      <c r="B437" s="23" t="inlineStr">
        <is>
          <t>Asmed Brenda</t>
        </is>
      </c>
      <c r="C437" s="23" t="inlineStr">
        <is>
          <t>Bajaj OSZ 46H</t>
        </is>
      </c>
      <c r="D437" s="23" t="inlineStr">
        <is>
          <t>OSZ46H</t>
        </is>
      </c>
      <c r="H437" s="23" t="n">
        <v>240000</v>
      </c>
      <c r="I437" s="23" t="n">
        <v>240000</v>
      </c>
      <c r="J437" s="23" t="inlineStr">
        <is>
          <t>efectivo</t>
        </is>
      </c>
    </row>
    <row r="438" hidden="1" customFormat="1" s="23">
      <c r="A438" s="38" t="n">
        <v>45914</v>
      </c>
      <c r="B438" s="23" t="inlineStr">
        <is>
          <t>Asmed Brenda</t>
        </is>
      </c>
      <c r="C438" s="23" t="inlineStr">
        <is>
          <t>Bajaj OSZ 46H</t>
        </is>
      </c>
      <c r="D438" s="23" t="inlineStr">
        <is>
          <t>OSZ46H</t>
        </is>
      </c>
      <c r="H438" s="23" t="n">
        <v>240000</v>
      </c>
      <c r="I438" s="23" t="n">
        <v>240000</v>
      </c>
      <c r="J438" s="23" t="inlineStr">
        <is>
          <t>efectivo</t>
        </is>
      </c>
    </row>
    <row r="439" hidden="1" customFormat="1" s="23">
      <c r="A439" s="38" t="n">
        <v>45920</v>
      </c>
      <c r="B439" s="23" t="inlineStr">
        <is>
          <t>Asmed Brenda</t>
        </is>
      </c>
      <c r="C439" s="23" t="inlineStr">
        <is>
          <t>Bajaj OSZ 46H</t>
        </is>
      </c>
      <c r="D439" s="23" t="inlineStr">
        <is>
          <t>OSZ46H</t>
        </is>
      </c>
      <c r="H439" s="23" t="n">
        <v>240000</v>
      </c>
      <c r="I439" s="23" t="n">
        <v>240000</v>
      </c>
      <c r="J439" s="23" t="inlineStr">
        <is>
          <t>efectivo</t>
        </is>
      </c>
    </row>
    <row r="440" hidden="1" customFormat="1" s="23">
      <c r="A440" s="38" t="n">
        <v>45927</v>
      </c>
      <c r="B440" s="23" t="inlineStr">
        <is>
          <t>Asmed Brenda</t>
        </is>
      </c>
      <c r="C440" s="23" t="inlineStr">
        <is>
          <t>Bajaj OSZ 46H</t>
        </is>
      </c>
      <c r="D440" s="23" t="inlineStr">
        <is>
          <t>OSZ46H</t>
        </is>
      </c>
      <c r="H440" s="23" t="n">
        <v>240000</v>
      </c>
      <c r="I440" s="23" t="n">
        <v>240000</v>
      </c>
      <c r="J440" s="23" t="inlineStr">
        <is>
          <t>efectivo</t>
        </is>
      </c>
    </row>
    <row r="441" hidden="1" customFormat="1" s="23">
      <c r="A441" s="38" t="n">
        <v>45934</v>
      </c>
      <c r="B441" s="23" t="inlineStr">
        <is>
          <t>Asmed Brenda</t>
        </is>
      </c>
      <c r="C441" s="23" t="inlineStr">
        <is>
          <t>Bajaj OSZ 46H</t>
        </is>
      </c>
      <c r="D441" s="23" t="inlineStr">
        <is>
          <t>OSZ46H</t>
        </is>
      </c>
      <c r="H441" s="23" t="n">
        <v>240000</v>
      </c>
      <c r="I441" s="23" t="n">
        <v>240000</v>
      </c>
      <c r="J441" s="23" t="inlineStr">
        <is>
          <t>efectivo</t>
        </is>
      </c>
    </row>
    <row r="442" hidden="1" customFormat="1" s="23">
      <c r="A442" s="38" t="n">
        <v>45941</v>
      </c>
      <c r="B442" s="23" t="inlineStr">
        <is>
          <t>Asmed Brenda</t>
        </is>
      </c>
      <c r="C442" s="23" t="inlineStr">
        <is>
          <t>Bajaj OSZ 46H</t>
        </is>
      </c>
      <c r="D442" s="23" t="inlineStr">
        <is>
          <t>OSZ46H</t>
        </is>
      </c>
      <c r="H442" s="23" t="n">
        <v>240000</v>
      </c>
      <c r="I442" s="23" t="n">
        <v>240000</v>
      </c>
      <c r="J442" s="23" t="inlineStr">
        <is>
          <t>efectivo</t>
        </is>
      </c>
    </row>
    <row r="443" hidden="1" customFormat="1" s="23">
      <c r="A443" s="38" t="n">
        <v>45948</v>
      </c>
      <c r="B443" s="23" t="inlineStr">
        <is>
          <t>Asmed Brenda</t>
        </is>
      </c>
      <c r="C443" s="23" t="inlineStr">
        <is>
          <t>Bajaj OSZ 46H</t>
        </is>
      </c>
      <c r="D443" s="23" t="inlineStr">
        <is>
          <t>OSZ46H</t>
        </is>
      </c>
      <c r="H443" s="23" t="n">
        <v>240000</v>
      </c>
      <c r="I443" s="23" t="n">
        <v>240000</v>
      </c>
      <c r="J443" s="23" t="inlineStr">
        <is>
          <t>efectivo</t>
        </is>
      </c>
    </row>
    <row r="444" hidden="1" customFormat="1" s="23">
      <c r="A444" s="38" t="n">
        <v>45955</v>
      </c>
      <c r="B444" s="23" t="inlineStr">
        <is>
          <t>Asmed Brenda</t>
        </is>
      </c>
      <c r="C444" s="23" t="inlineStr">
        <is>
          <t>Bajaj OSZ 46H</t>
        </is>
      </c>
      <c r="D444" s="23" t="inlineStr">
        <is>
          <t>OSZ46H</t>
        </is>
      </c>
      <c r="H444" s="23" t="n">
        <v>240000</v>
      </c>
      <c r="I444" s="23" t="n">
        <v>240000</v>
      </c>
      <c r="J444" s="23" t="inlineStr">
        <is>
          <t>efectivo</t>
        </is>
      </c>
    </row>
    <row r="445" hidden="1" customFormat="1" s="23">
      <c r="A445" s="38" t="n">
        <v>45963</v>
      </c>
      <c r="B445" s="23" t="inlineStr">
        <is>
          <t>Asmed Brenda</t>
        </is>
      </c>
      <c r="C445" s="23" t="inlineStr">
        <is>
          <t>Bajaj OSZ 46H</t>
        </is>
      </c>
      <c r="D445" s="23" t="inlineStr">
        <is>
          <t>OSZ46H</t>
        </is>
      </c>
      <c r="H445" s="23" t="n">
        <v>240000</v>
      </c>
      <c r="I445" s="23" t="n">
        <v>240000</v>
      </c>
      <c r="J445" s="23" t="inlineStr">
        <is>
          <t>efectivo</t>
        </is>
      </c>
    </row>
    <row r="446" hidden="1" customFormat="1" s="23">
      <c r="A446" s="38" t="n">
        <v>45970</v>
      </c>
      <c r="B446" s="23" t="inlineStr">
        <is>
          <t>Asmed Brenda</t>
        </is>
      </c>
      <c r="C446" s="23" t="inlineStr">
        <is>
          <t>Bajaj OSZ 46H</t>
        </is>
      </c>
      <c r="D446" s="23" t="inlineStr">
        <is>
          <t>OSZ46H</t>
        </is>
      </c>
      <c r="H446" s="23" t="n">
        <v>240000</v>
      </c>
      <c r="I446" s="23" t="n">
        <v>240000</v>
      </c>
      <c r="J446" s="23" t="inlineStr">
        <is>
          <t>efectivo</t>
        </is>
      </c>
    </row>
    <row r="447" hidden="1" customFormat="1" s="23">
      <c r="A447" s="38" t="n">
        <v>45981</v>
      </c>
      <c r="B447" s="23" t="inlineStr">
        <is>
          <t>Asmed Brenda</t>
        </is>
      </c>
      <c r="C447" s="23" t="inlineStr">
        <is>
          <t>Bajaj OSZ 46H</t>
        </is>
      </c>
      <c r="D447" s="23" t="inlineStr">
        <is>
          <t>OSZ46H</t>
        </is>
      </c>
      <c r="H447" s="23" t="n">
        <v>240000</v>
      </c>
      <c r="I447" s="23" t="n">
        <v>240000</v>
      </c>
      <c r="J447" s="23" t="inlineStr">
        <is>
          <t>efectivo</t>
        </is>
      </c>
    </row>
    <row r="448" hidden="1" customFormat="1" s="23">
      <c r="A448" s="38" t="n">
        <v>45989</v>
      </c>
      <c r="B448" s="23" t="inlineStr">
        <is>
          <t>Asmed Brenda</t>
        </is>
      </c>
      <c r="C448" s="23" t="inlineStr">
        <is>
          <t>Bajaj OSZ 46H</t>
        </is>
      </c>
      <c r="D448" s="23" t="inlineStr">
        <is>
          <t>OSZ46H</t>
        </is>
      </c>
      <c r="H448" s="23" t="n">
        <v>240000</v>
      </c>
      <c r="I448" s="23" t="n">
        <v>240000</v>
      </c>
      <c r="J448" s="23" t="inlineStr">
        <is>
          <t>efectivo</t>
        </is>
      </c>
    </row>
    <row r="449" hidden="1" customFormat="1" s="23">
      <c r="A449" s="38" t="n">
        <v>45995</v>
      </c>
      <c r="B449" s="23" t="inlineStr">
        <is>
          <t>Asmed Brenda</t>
        </is>
      </c>
      <c r="C449" s="23" t="inlineStr">
        <is>
          <t>Bajaj OSZ 46H</t>
        </is>
      </c>
      <c r="D449" s="23" t="inlineStr">
        <is>
          <t>OSZ46H</t>
        </is>
      </c>
      <c r="H449" s="23" t="n">
        <v>240000</v>
      </c>
      <c r="I449" s="23" t="n">
        <v>240000</v>
      </c>
      <c r="J449" s="23" t="inlineStr">
        <is>
          <t>efectivo</t>
        </is>
      </c>
    </row>
    <row r="450" hidden="1" customFormat="1" s="23">
      <c r="A450" s="38" t="n">
        <v>46002</v>
      </c>
      <c r="B450" s="23" t="inlineStr">
        <is>
          <t>Asmed Brenda</t>
        </is>
      </c>
      <c r="C450" s="23" t="inlineStr">
        <is>
          <t>Bajaj OSZ 46H</t>
        </is>
      </c>
      <c r="D450" s="23" t="inlineStr">
        <is>
          <t>OSZ46H</t>
        </is>
      </c>
      <c r="H450" s="23" t="n">
        <v>240000</v>
      </c>
      <c r="I450" s="23" t="n">
        <v>240000</v>
      </c>
      <c r="J450" s="23" t="inlineStr">
        <is>
          <t>efectivo</t>
        </is>
      </c>
    </row>
    <row r="451" hidden="1" customFormat="1" s="23">
      <c r="A451" s="38" t="n">
        <v>46009</v>
      </c>
      <c r="B451" s="23" t="inlineStr">
        <is>
          <t>Asmed Brenda</t>
        </is>
      </c>
      <c r="C451" s="23" t="inlineStr">
        <is>
          <t>Bajaj OSZ 46H</t>
        </is>
      </c>
      <c r="D451" s="23" t="inlineStr">
        <is>
          <t>OSZ46H</t>
        </is>
      </c>
      <c r="H451" s="23" t="n">
        <v>240000</v>
      </c>
      <c r="I451" s="23" t="n">
        <v>240000</v>
      </c>
      <c r="J451" s="23" t="inlineStr">
        <is>
          <t>efectivo</t>
        </is>
      </c>
    </row>
    <row r="452" hidden="1" customFormat="1" s="23">
      <c r="A452" s="38" t="n">
        <v>46018</v>
      </c>
      <c r="B452" s="23" t="inlineStr">
        <is>
          <t>Asmed Brenda</t>
        </is>
      </c>
      <c r="C452" s="23" t="inlineStr">
        <is>
          <t>Bajaj OSZ 46H</t>
        </is>
      </c>
      <c r="D452" s="23" t="inlineStr">
        <is>
          <t>OSZ46H</t>
        </is>
      </c>
      <c r="H452" s="23" t="n">
        <v>240000</v>
      </c>
      <c r="I452" s="23" t="n">
        <v>240000</v>
      </c>
      <c r="J452" s="23" t="inlineStr">
        <is>
          <t>efectivo</t>
        </is>
      </c>
    </row>
    <row r="453" hidden="1" customFormat="1" s="23">
      <c r="A453" s="38" t="n">
        <v>46037</v>
      </c>
      <c r="B453" s="23" t="inlineStr">
        <is>
          <t>Asmed Brenda</t>
        </is>
      </c>
      <c r="C453" s="23" t="inlineStr">
        <is>
          <t>Bajaj OSZ 46H</t>
        </is>
      </c>
      <c r="D453" s="23" t="inlineStr">
        <is>
          <t>OSZ46H</t>
        </is>
      </c>
      <c r="H453" s="23" t="n">
        <v>240000</v>
      </c>
      <c r="I453" s="23" t="n">
        <v>240000</v>
      </c>
      <c r="J453" s="23" t="inlineStr">
        <is>
          <t>efectivo</t>
        </is>
      </c>
    </row>
    <row r="454" hidden="1" customFormat="1" s="23">
      <c r="A454" s="38" t="n">
        <v>46045</v>
      </c>
      <c r="B454" s="23" t="inlineStr">
        <is>
          <t>Asmed Brenda</t>
        </is>
      </c>
      <c r="C454" s="23" t="inlineStr">
        <is>
          <t>Bajaj OSZ 46H</t>
        </is>
      </c>
      <c r="D454" s="23" t="inlineStr">
        <is>
          <t>OSZ46H</t>
        </is>
      </c>
      <c r="H454" s="23" t="n">
        <v>240000</v>
      </c>
      <c r="I454" s="23" t="n">
        <v>240000</v>
      </c>
      <c r="J454" s="23" t="inlineStr">
        <is>
          <t>efectivo</t>
        </is>
      </c>
    </row>
    <row r="455" hidden="1" customFormat="1" s="23">
      <c r="A455" s="38" t="n">
        <v>46052</v>
      </c>
      <c r="B455" s="23" t="inlineStr">
        <is>
          <t>Asmed Brenda</t>
        </is>
      </c>
      <c r="C455" s="23" t="inlineStr">
        <is>
          <t>Bajaj OSZ 46H</t>
        </is>
      </c>
      <c r="D455" s="23" t="inlineStr">
        <is>
          <t>OSZ46H</t>
        </is>
      </c>
      <c r="H455" s="23" t="n">
        <v>240000</v>
      </c>
      <c r="I455" s="23" t="n">
        <v>240000</v>
      </c>
      <c r="J455" s="23" t="inlineStr">
        <is>
          <t>efectivo</t>
        </is>
      </c>
    </row>
    <row r="456" hidden="1" customFormat="1" s="23">
      <c r="A456" s="38" t="n">
        <v>46061</v>
      </c>
      <c r="B456" s="23" t="inlineStr">
        <is>
          <t>Asmed Brenda</t>
        </is>
      </c>
      <c r="C456" s="23" t="inlineStr">
        <is>
          <t>Bajaj OSZ 46H</t>
        </is>
      </c>
      <c r="D456" s="23" t="inlineStr">
        <is>
          <t>OSZ46H</t>
        </is>
      </c>
      <c r="H456" s="23" t="n">
        <v>240000</v>
      </c>
      <c r="I456" s="23" t="n">
        <v>240000</v>
      </c>
      <c r="J456" s="23" t="inlineStr">
        <is>
          <t>efectivo</t>
        </is>
      </c>
    </row>
    <row r="457" hidden="1" customFormat="1" s="23">
      <c r="A457" s="38" t="n">
        <v>46071</v>
      </c>
      <c r="B457" s="23" t="inlineStr">
        <is>
          <t>Asmed Brenda</t>
        </is>
      </c>
      <c r="C457" s="23" t="inlineStr">
        <is>
          <t>Bajaj OSZ 46H</t>
        </is>
      </c>
      <c r="D457" s="23" t="inlineStr">
        <is>
          <t>OSZ46H</t>
        </is>
      </c>
      <c r="H457" s="23" t="n">
        <v>240000</v>
      </c>
      <c r="I457" s="23" t="n">
        <v>240000</v>
      </c>
      <c r="J457" s="23" t="inlineStr">
        <is>
          <t>efectivo</t>
        </is>
      </c>
    </row>
    <row r="458" hidden="1" customFormat="1" s="23">
      <c r="A458" s="38" t="n">
        <v>46076</v>
      </c>
      <c r="B458" s="23" t="inlineStr">
        <is>
          <t>Asmed Brenda</t>
        </is>
      </c>
      <c r="C458" s="23" t="inlineStr">
        <is>
          <t>Bajaj OSZ 46H</t>
        </is>
      </c>
      <c r="D458" s="23" t="inlineStr">
        <is>
          <t>OSZ46H</t>
        </is>
      </c>
      <c r="H458" s="23" t="n">
        <v>240000</v>
      </c>
      <c r="I458" s="23" t="n">
        <v>240000</v>
      </c>
      <c r="J458" s="23" t="inlineStr">
        <is>
          <t>efectivo</t>
        </is>
      </c>
    </row>
    <row r="459" hidden="1" customFormat="1" s="23">
      <c r="A459" s="38" t="n">
        <v>46085</v>
      </c>
      <c r="B459" s="23" t="inlineStr">
        <is>
          <t>Asmed Brenda</t>
        </is>
      </c>
      <c r="C459" s="23" t="inlineStr">
        <is>
          <t>Bajaj OSZ 46H</t>
        </is>
      </c>
      <c r="D459" s="23" t="inlineStr">
        <is>
          <t>OSZ46H</t>
        </is>
      </c>
      <c r="H459" s="23" t="n">
        <v>240000</v>
      </c>
      <c r="I459" s="23" t="n">
        <v>240000</v>
      </c>
      <c r="J459" s="23" t="inlineStr">
        <is>
          <t>efectivo</t>
        </is>
      </c>
    </row>
    <row r="460" hidden="1" customFormat="1" s="23">
      <c r="A460" s="38" t="n">
        <v>46092</v>
      </c>
      <c r="B460" s="23" t="inlineStr">
        <is>
          <t>Asmed Brenda</t>
        </is>
      </c>
      <c r="C460" s="23" t="inlineStr">
        <is>
          <t>Bajaj OSZ 46H</t>
        </is>
      </c>
      <c r="D460" s="23" t="inlineStr">
        <is>
          <t>OSZ46H</t>
        </is>
      </c>
      <c r="H460" s="23" t="n">
        <v>240000</v>
      </c>
      <c r="I460" s="23" t="n">
        <v>240000</v>
      </c>
      <c r="J460" s="23" t="inlineStr">
        <is>
          <t>efectivo</t>
        </is>
      </c>
    </row>
    <row r="461" hidden="1" customFormat="1" s="23">
      <c r="A461" s="38" t="n">
        <v>46099</v>
      </c>
      <c r="B461" s="23" t="inlineStr">
        <is>
          <t>Asmed Brenda</t>
        </is>
      </c>
      <c r="C461" s="23" t="inlineStr">
        <is>
          <t>Bajaj OSZ 46H</t>
        </is>
      </c>
      <c r="D461" s="23" t="inlineStr">
        <is>
          <t>OSZ46H</t>
        </is>
      </c>
      <c r="H461" s="23" t="n">
        <v>240000</v>
      </c>
      <c r="I461" s="23" t="n">
        <v>240000</v>
      </c>
      <c r="J461" s="23" t="inlineStr">
        <is>
          <t>efectivo</t>
        </is>
      </c>
    </row>
    <row r="462" hidden="1" customFormat="1" s="23">
      <c r="A462" s="38" t="n">
        <v>46106</v>
      </c>
      <c r="B462" s="23" t="inlineStr">
        <is>
          <t>Asmed Brenda</t>
        </is>
      </c>
      <c r="C462" s="23" t="inlineStr">
        <is>
          <t>Bajaj OSZ 46H</t>
        </is>
      </c>
      <c r="D462" s="23" t="inlineStr">
        <is>
          <t>OSZ46H</t>
        </is>
      </c>
      <c r="H462" s="23" t="n">
        <v>240000</v>
      </c>
      <c r="I462" s="23" t="n">
        <v>240000</v>
      </c>
      <c r="J462" s="23" t="inlineStr">
        <is>
          <t>efectivo</t>
        </is>
      </c>
    </row>
    <row r="463" hidden="1" customFormat="1" s="23">
      <c r="A463" s="38" t="n">
        <v>46113</v>
      </c>
      <c r="B463" s="23" t="inlineStr">
        <is>
          <t>Asmed Brenda</t>
        </is>
      </c>
      <c r="C463" s="23" t="inlineStr">
        <is>
          <t>Bajaj OSZ 46H</t>
        </is>
      </c>
      <c r="D463" s="23" t="inlineStr">
        <is>
          <t>OSZ46H</t>
        </is>
      </c>
      <c r="H463" s="23" t="n">
        <v>240000</v>
      </c>
      <c r="I463" s="23" t="n">
        <v>240000</v>
      </c>
      <c r="J463" s="23" t="inlineStr">
        <is>
          <t>efectivo</t>
        </is>
      </c>
    </row>
    <row r="464" hidden="1" customFormat="1" s="23">
      <c r="A464" s="38" t="n">
        <v>46123</v>
      </c>
      <c r="B464" s="23" t="inlineStr">
        <is>
          <t>Asmed Brenda</t>
        </is>
      </c>
      <c r="C464" s="23" t="inlineStr">
        <is>
          <t>Bajaj OSZ 46H</t>
        </is>
      </c>
      <c r="D464" s="23" t="inlineStr">
        <is>
          <t>OSZ46H</t>
        </is>
      </c>
      <c r="H464" s="23" t="n">
        <v>240000</v>
      </c>
      <c r="I464" s="23" t="n">
        <v>240000</v>
      </c>
      <c r="J464" s="23" t="inlineStr">
        <is>
          <t>efectivo</t>
        </is>
      </c>
    </row>
    <row r="465" hidden="1" customFormat="1" s="23">
      <c r="A465" s="38" t="n">
        <v>46130</v>
      </c>
      <c r="B465" s="23" t="inlineStr">
        <is>
          <t>Asmed Brenda</t>
        </is>
      </c>
      <c r="C465" s="23" t="inlineStr">
        <is>
          <t>Bajaj OSZ 46H</t>
        </is>
      </c>
      <c r="D465" s="23" t="inlineStr">
        <is>
          <t>OSZ46H</t>
        </is>
      </c>
      <c r="H465" s="23" t="n">
        <v>240000</v>
      </c>
      <c r="I465" s="23" t="n">
        <v>240000</v>
      </c>
      <c r="J465" s="23" t="inlineStr">
        <is>
          <t>efectivo</t>
        </is>
      </c>
    </row>
    <row r="466" hidden="1" customFormat="1" s="23">
      <c r="A466" s="38" t="n">
        <v>46137</v>
      </c>
      <c r="B466" s="23" t="inlineStr">
        <is>
          <t>Asmed Brenda</t>
        </is>
      </c>
      <c r="C466" s="23" t="inlineStr">
        <is>
          <t>Bajaj OSZ 46H</t>
        </is>
      </c>
      <c r="D466" s="23" t="inlineStr">
        <is>
          <t>OSZ46H</t>
        </is>
      </c>
      <c r="H466" s="23" t="n">
        <v>240000</v>
      </c>
      <c r="I466" s="23" t="n">
        <v>240000</v>
      </c>
      <c r="J466" s="23" t="inlineStr">
        <is>
          <t>efectivo</t>
        </is>
      </c>
    </row>
    <row r="467" hidden="1" customFormat="1" s="23">
      <c r="A467" s="38" t="n">
        <v>46145</v>
      </c>
      <c r="B467" s="23" t="inlineStr">
        <is>
          <t>Asmed Brenda</t>
        </is>
      </c>
      <c r="C467" s="23" t="inlineStr">
        <is>
          <t>Bajaj OSZ 46H</t>
        </is>
      </c>
      <c r="D467" s="23" t="inlineStr">
        <is>
          <t>OSZ46H</t>
        </is>
      </c>
      <c r="H467" s="23" t="n">
        <v>240000</v>
      </c>
      <c r="I467" s="23" t="n">
        <v>240000</v>
      </c>
      <c r="J467" s="23" t="inlineStr">
        <is>
          <t>efectivo</t>
        </is>
      </c>
    </row>
    <row r="468" hidden="1" customFormat="1" s="23">
      <c r="A468" s="38" t="n">
        <v>46152</v>
      </c>
      <c r="B468" s="23" t="inlineStr">
        <is>
          <t>Asmed Brenda</t>
        </is>
      </c>
      <c r="C468" s="23" t="inlineStr">
        <is>
          <t>Bajaj OSZ 46H</t>
        </is>
      </c>
      <c r="D468" s="23" t="inlineStr">
        <is>
          <t>OSZ46H</t>
        </is>
      </c>
      <c r="H468" s="23" t="n">
        <v>240000</v>
      </c>
      <c r="I468" s="23" t="n">
        <v>240000</v>
      </c>
      <c r="J468" s="23" t="inlineStr">
        <is>
          <t>efectivo</t>
        </is>
      </c>
    </row>
    <row r="469" hidden="1" customFormat="1" s="23">
      <c r="A469" s="38" t="n">
        <v>46163</v>
      </c>
      <c r="B469" s="23" t="inlineStr">
        <is>
          <t>Asmed Brenda</t>
        </is>
      </c>
      <c r="C469" s="23" t="inlineStr">
        <is>
          <t>Bajaj OSZ 46H</t>
        </is>
      </c>
      <c r="D469" s="23" t="inlineStr">
        <is>
          <t>OSZ46H</t>
        </is>
      </c>
      <c r="H469" s="23" t="n">
        <v>240000</v>
      </c>
      <c r="I469" s="23" t="n">
        <v>240000</v>
      </c>
      <c r="J469" s="23" t="inlineStr">
        <is>
          <t>efectivo</t>
        </is>
      </c>
    </row>
    <row r="470" hidden="1" customFormat="1" s="23">
      <c r="A470" s="38" t="n">
        <v>46171</v>
      </c>
      <c r="B470" s="23" t="inlineStr">
        <is>
          <t>Asmed Brenda</t>
        </is>
      </c>
      <c r="C470" s="23" t="inlineStr">
        <is>
          <t>Bajaj OSZ 46H</t>
        </is>
      </c>
      <c r="D470" s="23" t="inlineStr">
        <is>
          <t>OSZ46H</t>
        </is>
      </c>
      <c r="H470" s="23" t="n">
        <v>240000</v>
      </c>
      <c r="I470" s="23" t="n">
        <v>240000</v>
      </c>
      <c r="J470" s="23" t="inlineStr">
        <is>
          <t>efectivo</t>
        </is>
      </c>
    </row>
    <row r="471" hidden="1" customFormat="1" s="23">
      <c r="A471" s="38" t="n">
        <v>46178</v>
      </c>
      <c r="B471" s="23" t="inlineStr">
        <is>
          <t>Asmed Brenda</t>
        </is>
      </c>
      <c r="C471" s="23" t="inlineStr">
        <is>
          <t>Bajaj OSZ 46H</t>
        </is>
      </c>
      <c r="D471" s="23" t="inlineStr">
        <is>
          <t>OSZ46H</t>
        </is>
      </c>
      <c r="H471" s="23" t="n">
        <v>240000</v>
      </c>
      <c r="I471" s="23" t="n">
        <v>240000</v>
      </c>
      <c r="J471" s="23" t="inlineStr">
        <is>
          <t>efectivo</t>
        </is>
      </c>
    </row>
    <row r="472" hidden="1" customFormat="1" s="23">
      <c r="A472" s="38" t="n">
        <v>46186</v>
      </c>
      <c r="B472" s="23" t="inlineStr">
        <is>
          <t>Asmed Brenda</t>
        </is>
      </c>
      <c r="C472" s="23" t="inlineStr">
        <is>
          <t>Bajaj OSZ 46H</t>
        </is>
      </c>
      <c r="D472" s="23" t="inlineStr">
        <is>
          <t>OSZ46H</t>
        </is>
      </c>
      <c r="H472" s="23" t="n">
        <v>240000</v>
      </c>
      <c r="I472" s="23" t="n">
        <v>240000</v>
      </c>
      <c r="J472" s="23" t="inlineStr">
        <is>
          <t>efectivo</t>
        </is>
      </c>
    </row>
    <row r="473" hidden="1" customFormat="1" s="23">
      <c r="A473" s="38" t="n">
        <v>46195</v>
      </c>
      <c r="B473" s="23" t="inlineStr">
        <is>
          <t>Asmed Brenda</t>
        </is>
      </c>
      <c r="C473" s="23" t="inlineStr">
        <is>
          <t>Bajaj OSZ 46H</t>
        </is>
      </c>
      <c r="D473" s="23" t="inlineStr">
        <is>
          <t>OSZ46H</t>
        </is>
      </c>
      <c r="H473" s="23" t="n">
        <v>240000</v>
      </c>
      <c r="I473" s="23" t="n">
        <v>240000</v>
      </c>
      <c r="J473" s="23" t="inlineStr">
        <is>
          <t>efectivo</t>
        </is>
      </c>
    </row>
    <row r="474" hidden="1" customFormat="1" s="23">
      <c r="A474" s="38" t="n">
        <v>46203</v>
      </c>
      <c r="B474" s="23" t="inlineStr">
        <is>
          <t>Asmed Brenda</t>
        </is>
      </c>
      <c r="C474" s="23" t="inlineStr">
        <is>
          <t>Bajaj OSZ 46H</t>
        </is>
      </c>
      <c r="D474" s="23" t="inlineStr">
        <is>
          <t>OSZ46H</t>
        </is>
      </c>
      <c r="H474" s="23" t="n">
        <v>240000</v>
      </c>
      <c r="I474" s="23" t="n">
        <v>240000</v>
      </c>
      <c r="J474" s="23" t="inlineStr">
        <is>
          <t>efectivo</t>
        </is>
      </c>
    </row>
    <row r="475" hidden="1" customFormat="1" s="23">
      <c r="A475" s="38" t="n">
        <v>45794</v>
      </c>
      <c r="B475" s="23" t="inlineStr">
        <is>
          <t>Chacal Caterine</t>
        </is>
      </c>
      <c r="C475" s="23" t="inlineStr">
        <is>
          <t>Bajaj OSZ 43H</t>
        </is>
      </c>
      <c r="D475" s="23" t="inlineStr">
        <is>
          <t>OSZ43H</t>
        </is>
      </c>
      <c r="H475" s="23" t="n">
        <v>240000</v>
      </c>
      <c r="I475" s="23" t="n">
        <v>240000</v>
      </c>
      <c r="J475" s="23" t="inlineStr">
        <is>
          <t>efectivo</t>
        </is>
      </c>
    </row>
    <row r="476" hidden="1" customFormat="1" s="23">
      <c r="A476" s="38" t="n">
        <v>45802</v>
      </c>
      <c r="B476" s="23" t="inlineStr">
        <is>
          <t>Chacal Caterine</t>
        </is>
      </c>
      <c r="C476" s="23" t="inlineStr">
        <is>
          <t>Bajaj OSZ 43H</t>
        </is>
      </c>
      <c r="D476" s="23" t="inlineStr">
        <is>
          <t>OSZ43H</t>
        </is>
      </c>
      <c r="H476" s="23" t="n">
        <v>240000</v>
      </c>
      <c r="I476" s="23" t="n">
        <v>240000</v>
      </c>
      <c r="J476" s="23" t="inlineStr">
        <is>
          <t>efectivo</t>
        </is>
      </c>
    </row>
    <row r="477" hidden="1" customFormat="1" s="23">
      <c r="A477" s="38" t="n">
        <v>45810</v>
      </c>
      <c r="B477" s="23" t="inlineStr">
        <is>
          <t>Chacal Caterine</t>
        </is>
      </c>
      <c r="C477" s="23" t="inlineStr">
        <is>
          <t>Bajaj OSZ 43H</t>
        </is>
      </c>
      <c r="D477" s="23" t="inlineStr">
        <is>
          <t>OSZ43H</t>
        </is>
      </c>
      <c r="H477" s="23" t="n">
        <v>240000</v>
      </c>
      <c r="I477" s="23" t="n">
        <v>240000</v>
      </c>
      <c r="J477" s="23" t="inlineStr">
        <is>
          <t>efectivo</t>
        </is>
      </c>
    </row>
    <row r="478" hidden="1" customFormat="1" s="23">
      <c r="A478" s="38" t="n">
        <v>45818</v>
      </c>
      <c r="B478" s="23" t="inlineStr">
        <is>
          <t>Chacal Caterine</t>
        </is>
      </c>
      <c r="C478" s="23" t="inlineStr">
        <is>
          <t>Bajaj OSZ 43H</t>
        </is>
      </c>
      <c r="D478" s="23" t="inlineStr">
        <is>
          <t>OSZ43H</t>
        </is>
      </c>
      <c r="H478" s="23" t="n">
        <v>240000</v>
      </c>
      <c r="I478" s="23" t="n">
        <v>240000</v>
      </c>
      <c r="J478" s="23" t="inlineStr">
        <is>
          <t>efectivo</t>
        </is>
      </c>
    </row>
    <row r="479" hidden="1" customFormat="1" s="23">
      <c r="A479" s="38" t="n">
        <v>45827</v>
      </c>
      <c r="B479" s="23" t="inlineStr">
        <is>
          <t>Chacal Caterine</t>
        </is>
      </c>
      <c r="C479" s="23" t="inlineStr">
        <is>
          <t>Bajaj OSZ 43H</t>
        </is>
      </c>
      <c r="D479" s="23" t="inlineStr">
        <is>
          <t>OSZ43H</t>
        </is>
      </c>
      <c r="H479" s="23" t="n">
        <v>240000</v>
      </c>
      <c r="I479" s="23" t="n">
        <v>240000</v>
      </c>
      <c r="J479" s="23" t="inlineStr">
        <is>
          <t>efectivo</t>
        </is>
      </c>
    </row>
    <row r="480" hidden="1" customFormat="1" s="23">
      <c r="A480" s="38" t="n">
        <v>45836</v>
      </c>
      <c r="B480" s="23" t="inlineStr">
        <is>
          <t>Chacal Caterine</t>
        </is>
      </c>
      <c r="C480" s="23" t="inlineStr">
        <is>
          <t>Bajaj OSZ 43H</t>
        </is>
      </c>
      <c r="D480" s="23" t="inlineStr">
        <is>
          <t>OSZ43H</t>
        </is>
      </c>
      <c r="H480" s="23" t="n">
        <v>240000</v>
      </c>
      <c r="I480" s="23" t="n">
        <v>240000</v>
      </c>
      <c r="J480" s="23" t="inlineStr">
        <is>
          <t>efectivo</t>
        </is>
      </c>
    </row>
    <row r="481" hidden="1" customFormat="1" s="23">
      <c r="A481" s="38" t="n">
        <v>45844</v>
      </c>
      <c r="B481" s="23" t="inlineStr">
        <is>
          <t>Chacal Caterine</t>
        </is>
      </c>
      <c r="C481" s="23" t="inlineStr">
        <is>
          <t>Bajaj OSZ 43H</t>
        </is>
      </c>
      <c r="D481" s="23" t="inlineStr">
        <is>
          <t>OSZ43H</t>
        </is>
      </c>
      <c r="H481" s="23" t="n">
        <v>240000</v>
      </c>
      <c r="I481" s="23" t="n">
        <v>240000</v>
      </c>
      <c r="J481" s="23" t="inlineStr">
        <is>
          <t>efectivo</t>
        </is>
      </c>
    </row>
    <row r="482" hidden="1" customFormat="1" s="23">
      <c r="A482" s="38" t="n">
        <v>45853</v>
      </c>
      <c r="B482" s="23" t="inlineStr">
        <is>
          <t>Chacal Caterine</t>
        </is>
      </c>
      <c r="C482" s="23" t="inlineStr">
        <is>
          <t>Bajaj OSZ 43H</t>
        </is>
      </c>
      <c r="D482" s="23" t="inlineStr">
        <is>
          <t>OSZ43H</t>
        </is>
      </c>
      <c r="H482" s="23" t="n">
        <v>240000</v>
      </c>
      <c r="I482" s="23" t="n">
        <v>240000</v>
      </c>
      <c r="J482" s="23" t="inlineStr">
        <is>
          <t>efectivo</t>
        </is>
      </c>
    </row>
    <row r="483" hidden="1" customFormat="1" s="23">
      <c r="A483" s="38" t="n">
        <v>45862</v>
      </c>
      <c r="B483" s="23" t="inlineStr">
        <is>
          <t>Chacal Caterine</t>
        </is>
      </c>
      <c r="C483" s="23" t="inlineStr">
        <is>
          <t>Bajaj OSZ 43H</t>
        </is>
      </c>
      <c r="D483" s="23" t="inlineStr">
        <is>
          <t>OSZ43H</t>
        </is>
      </c>
      <c r="H483" s="23" t="n">
        <v>240000</v>
      </c>
      <c r="I483" s="23" t="n">
        <v>240000</v>
      </c>
      <c r="J483" s="23" t="inlineStr">
        <is>
          <t>efectivo</t>
        </is>
      </c>
    </row>
    <row r="484" hidden="1" customFormat="1" s="23">
      <c r="A484" s="38" t="n">
        <v>45874</v>
      </c>
      <c r="B484" s="23" t="inlineStr">
        <is>
          <t>Chacal Caterine</t>
        </is>
      </c>
      <c r="C484" s="23" t="inlineStr">
        <is>
          <t>Bajaj OSZ 43H</t>
        </is>
      </c>
      <c r="D484" s="23" t="inlineStr">
        <is>
          <t>OSZ43H</t>
        </is>
      </c>
      <c r="H484" s="23" t="n">
        <v>240000</v>
      </c>
      <c r="I484" s="23" t="n">
        <v>240000</v>
      </c>
      <c r="J484" s="23" t="inlineStr">
        <is>
          <t>efectivo</t>
        </is>
      </c>
    </row>
    <row r="485" hidden="1" customFormat="1" s="23">
      <c r="A485" s="38" t="n">
        <v>45882</v>
      </c>
      <c r="B485" s="23" t="inlineStr">
        <is>
          <t>Chacal Caterine</t>
        </is>
      </c>
      <c r="C485" s="23" t="inlineStr">
        <is>
          <t>Bajaj OSZ 43H</t>
        </is>
      </c>
      <c r="D485" s="23" t="inlineStr">
        <is>
          <t>OSZ43H</t>
        </is>
      </c>
      <c r="H485" s="23" t="n">
        <v>240000</v>
      </c>
      <c r="I485" s="23" t="n">
        <v>240000</v>
      </c>
      <c r="J485" s="23" t="inlineStr">
        <is>
          <t>efectivo</t>
        </is>
      </c>
    </row>
    <row r="486" hidden="1" customFormat="1" s="23">
      <c r="A486" s="38" t="n">
        <v>45890</v>
      </c>
      <c r="B486" s="23" t="inlineStr">
        <is>
          <t>Chacal Caterine</t>
        </is>
      </c>
      <c r="C486" s="23" t="inlineStr">
        <is>
          <t>Bajaj OSZ 43H</t>
        </is>
      </c>
      <c r="D486" s="23" t="inlineStr">
        <is>
          <t>OSZ43H</t>
        </is>
      </c>
      <c r="H486" s="23" t="n">
        <v>240000</v>
      </c>
      <c r="I486" s="23" t="n">
        <v>240000</v>
      </c>
      <c r="J486" s="23" t="inlineStr">
        <is>
          <t>efectivo</t>
        </is>
      </c>
    </row>
    <row r="487" hidden="1" customFormat="1" s="23">
      <c r="A487" s="38" t="n">
        <v>45899</v>
      </c>
      <c r="B487" s="23" t="inlineStr">
        <is>
          <t>Chacal Caterine</t>
        </is>
      </c>
      <c r="C487" s="23" t="inlineStr">
        <is>
          <t>Bajaj OSZ 43H</t>
        </is>
      </c>
      <c r="D487" s="23" t="inlineStr">
        <is>
          <t>OSZ43H</t>
        </is>
      </c>
      <c r="H487" s="23" t="n">
        <v>240000</v>
      </c>
      <c r="I487" s="23" t="n">
        <v>240000</v>
      </c>
      <c r="J487" s="23" t="inlineStr">
        <is>
          <t>efectivo</t>
        </is>
      </c>
    </row>
    <row r="488" hidden="1" customFormat="1" s="23">
      <c r="A488" s="38" t="n">
        <v>45907</v>
      </c>
      <c r="B488" s="23" t="inlineStr">
        <is>
          <t>Chacal Caterine</t>
        </is>
      </c>
      <c r="C488" s="23" t="inlineStr">
        <is>
          <t>Bajaj OSZ 43H</t>
        </is>
      </c>
      <c r="D488" s="23" t="inlineStr">
        <is>
          <t>OSZ43H</t>
        </is>
      </c>
      <c r="H488" s="23" t="n">
        <v>240000</v>
      </c>
      <c r="I488" s="23" t="n">
        <v>240000</v>
      </c>
      <c r="J488" s="23" t="inlineStr">
        <is>
          <t>efectivo</t>
        </is>
      </c>
    </row>
    <row r="489" hidden="1" customFormat="1" s="23">
      <c r="A489" s="38" t="n">
        <v>45915</v>
      </c>
      <c r="B489" s="23" t="inlineStr">
        <is>
          <t>Chacal Caterine</t>
        </is>
      </c>
      <c r="C489" s="23" t="inlineStr">
        <is>
          <t>Bajaj OSZ 43H</t>
        </is>
      </c>
      <c r="D489" s="23" t="inlineStr">
        <is>
          <t>OSZ43H</t>
        </is>
      </c>
      <c r="H489" s="23" t="n">
        <v>240000</v>
      </c>
      <c r="I489" s="23" t="n">
        <v>240000</v>
      </c>
      <c r="J489" s="23" t="inlineStr">
        <is>
          <t>efectivo</t>
        </is>
      </c>
    </row>
    <row r="490" hidden="1" customFormat="1" s="23">
      <c r="A490" s="38" t="n">
        <v>45922</v>
      </c>
      <c r="B490" s="23" t="inlineStr">
        <is>
          <t>Chacal Caterine</t>
        </is>
      </c>
      <c r="C490" s="23" t="inlineStr">
        <is>
          <t>Bajaj OSZ 43H</t>
        </is>
      </c>
      <c r="D490" s="23" t="inlineStr">
        <is>
          <t>OSZ43H</t>
        </is>
      </c>
      <c r="H490" s="23" t="n">
        <v>240000</v>
      </c>
      <c r="I490" s="23" t="n">
        <v>240000</v>
      </c>
      <c r="J490" s="23" t="inlineStr">
        <is>
          <t>efectivo</t>
        </is>
      </c>
    </row>
    <row r="491" hidden="1" customFormat="1" s="23">
      <c r="A491" s="38" t="n">
        <v>45928</v>
      </c>
      <c r="B491" s="23" t="inlineStr">
        <is>
          <t>Chacal Caterine</t>
        </is>
      </c>
      <c r="C491" s="23" t="inlineStr">
        <is>
          <t>Bajaj OSZ 43H</t>
        </is>
      </c>
      <c r="D491" s="23" t="inlineStr">
        <is>
          <t>OSZ43H</t>
        </is>
      </c>
      <c r="H491" s="23" t="n">
        <v>240000</v>
      </c>
      <c r="I491" s="23" t="n">
        <v>240000</v>
      </c>
      <c r="J491" s="23" t="inlineStr">
        <is>
          <t>efectivo</t>
        </is>
      </c>
    </row>
    <row r="492" hidden="1" customFormat="1" s="23">
      <c r="A492" s="38" t="n">
        <v>45936</v>
      </c>
      <c r="B492" s="23" t="inlineStr">
        <is>
          <t>Chacal Caterine</t>
        </is>
      </c>
      <c r="C492" s="23" t="inlineStr">
        <is>
          <t>Bajaj OSZ 43H</t>
        </is>
      </c>
      <c r="D492" s="23" t="inlineStr">
        <is>
          <t>OSZ43H</t>
        </is>
      </c>
      <c r="H492" s="23" t="n">
        <v>240000</v>
      </c>
      <c r="I492" s="23" t="n">
        <v>240000</v>
      </c>
      <c r="J492" s="23" t="inlineStr">
        <is>
          <t>efectivo</t>
        </is>
      </c>
    </row>
    <row r="493" hidden="1" customFormat="1" s="23">
      <c r="A493" s="38" t="n">
        <v>45943</v>
      </c>
      <c r="B493" s="23" t="inlineStr">
        <is>
          <t>Chacal Caterine</t>
        </is>
      </c>
      <c r="C493" s="23" t="inlineStr">
        <is>
          <t>Bajaj OSZ 43H</t>
        </is>
      </c>
      <c r="D493" s="23" t="inlineStr">
        <is>
          <t>OSZ43H</t>
        </is>
      </c>
      <c r="H493" s="23" t="n">
        <v>240000</v>
      </c>
      <c r="I493" s="23" t="n">
        <v>240000</v>
      </c>
      <c r="J493" s="23" t="inlineStr">
        <is>
          <t>efectivo</t>
        </is>
      </c>
    </row>
    <row r="494" hidden="1" customFormat="1" s="23">
      <c r="A494" s="38" t="n">
        <v>45952</v>
      </c>
      <c r="B494" s="23" t="inlineStr">
        <is>
          <t>Chacal Caterine</t>
        </is>
      </c>
      <c r="C494" s="23" t="inlineStr">
        <is>
          <t>Bajaj OSZ 43H</t>
        </is>
      </c>
      <c r="D494" s="23" t="inlineStr">
        <is>
          <t>OSZ43H</t>
        </is>
      </c>
      <c r="H494" s="23" t="n">
        <v>240000</v>
      </c>
      <c r="I494" s="23" t="n">
        <v>240000</v>
      </c>
      <c r="J494" s="23" t="inlineStr">
        <is>
          <t>efectivo</t>
        </is>
      </c>
    </row>
    <row r="495" hidden="1" customFormat="1" s="23">
      <c r="A495" s="38" t="n">
        <v>45960</v>
      </c>
      <c r="B495" s="23" t="inlineStr">
        <is>
          <t>Chacal Caterine</t>
        </is>
      </c>
      <c r="C495" s="23" t="inlineStr">
        <is>
          <t>Bajaj OSZ 43H</t>
        </is>
      </c>
      <c r="D495" s="23" t="inlineStr">
        <is>
          <t>OSZ43H</t>
        </is>
      </c>
      <c r="H495" s="23" t="n">
        <v>240000</v>
      </c>
      <c r="I495" s="23" t="n">
        <v>240000</v>
      </c>
      <c r="J495" s="23" t="inlineStr">
        <is>
          <t>efectivo</t>
        </is>
      </c>
    </row>
    <row r="496" hidden="1" customFormat="1" s="23">
      <c r="A496" s="38" t="n">
        <v>45967</v>
      </c>
      <c r="B496" s="23" t="inlineStr">
        <is>
          <t>Chacal Caterine</t>
        </is>
      </c>
      <c r="C496" s="23" t="inlineStr">
        <is>
          <t>Bajaj OSZ 43H</t>
        </is>
      </c>
      <c r="D496" s="23" t="inlineStr">
        <is>
          <t>OSZ43H</t>
        </is>
      </c>
      <c r="H496" s="23" t="n">
        <v>240000</v>
      </c>
      <c r="I496" s="23" t="n">
        <v>240000</v>
      </c>
      <c r="J496" s="23" t="inlineStr">
        <is>
          <t>efectivo</t>
        </is>
      </c>
    </row>
    <row r="497" hidden="1" customFormat="1" s="23">
      <c r="A497" s="38" t="n">
        <v>45978</v>
      </c>
      <c r="B497" s="23" t="inlineStr">
        <is>
          <t>Chacal Caterine</t>
        </is>
      </c>
      <c r="C497" s="23" t="inlineStr">
        <is>
          <t>Bajaj OSZ 43H</t>
        </is>
      </c>
      <c r="D497" s="23" t="inlineStr">
        <is>
          <t>OSZ43H</t>
        </is>
      </c>
      <c r="H497" s="23" t="n">
        <v>240000</v>
      </c>
      <c r="I497" s="23" t="n">
        <v>240000</v>
      </c>
      <c r="J497" s="23" t="inlineStr">
        <is>
          <t>efectivo</t>
        </is>
      </c>
    </row>
    <row r="498" hidden="1" customFormat="1" s="23">
      <c r="A498" s="38" t="n">
        <v>45985</v>
      </c>
      <c r="B498" s="23" t="inlineStr">
        <is>
          <t>Chacal Caterine</t>
        </is>
      </c>
      <c r="C498" s="23" t="inlineStr">
        <is>
          <t>Bajaj OSZ 43H</t>
        </is>
      </c>
      <c r="D498" s="23" t="inlineStr">
        <is>
          <t>OSZ43H</t>
        </is>
      </c>
      <c r="H498" s="23" t="n">
        <v>240000</v>
      </c>
      <c r="I498" s="23" t="n">
        <v>240000</v>
      </c>
      <c r="J498" s="23" t="inlineStr">
        <is>
          <t>efectivo</t>
        </is>
      </c>
    </row>
    <row r="499" hidden="1" customFormat="1" s="23">
      <c r="A499" s="38" t="n">
        <v>45993</v>
      </c>
      <c r="B499" s="23" t="inlineStr">
        <is>
          <t>Chacal Caterine</t>
        </is>
      </c>
      <c r="C499" s="23" t="inlineStr">
        <is>
          <t>Bajaj OSZ 43H</t>
        </is>
      </c>
      <c r="D499" s="23" t="inlineStr">
        <is>
          <t>OSZ43H</t>
        </is>
      </c>
      <c r="H499" s="23" t="n">
        <v>240000</v>
      </c>
      <c r="I499" s="23" t="n">
        <v>240000</v>
      </c>
      <c r="J499" s="23" t="inlineStr">
        <is>
          <t>efectivo</t>
        </is>
      </c>
    </row>
    <row r="500" hidden="1" customFormat="1" s="23">
      <c r="A500" s="38" t="n">
        <v>46002</v>
      </c>
      <c r="B500" s="23" t="inlineStr">
        <is>
          <t>Chacal Caterine</t>
        </is>
      </c>
      <c r="C500" s="23" t="inlineStr">
        <is>
          <t>Bajaj OSZ 43H</t>
        </is>
      </c>
      <c r="D500" s="23" t="inlineStr">
        <is>
          <t>OSZ43H</t>
        </is>
      </c>
      <c r="H500" s="23" t="n">
        <v>240000</v>
      </c>
      <c r="I500" s="23" t="n">
        <v>240000</v>
      </c>
      <c r="J500" s="23" t="inlineStr">
        <is>
          <t>efectivo</t>
        </is>
      </c>
    </row>
    <row r="501" hidden="1" customFormat="1" s="23">
      <c r="A501" s="38" t="n">
        <v>46011</v>
      </c>
      <c r="B501" s="23" t="inlineStr">
        <is>
          <t>Chacal Caterine</t>
        </is>
      </c>
      <c r="C501" s="23" t="inlineStr">
        <is>
          <t>Bajaj OSZ 43H</t>
        </is>
      </c>
      <c r="D501" s="23" t="inlineStr">
        <is>
          <t>OSZ43H</t>
        </is>
      </c>
      <c r="H501" s="23" t="n">
        <v>240000</v>
      </c>
      <c r="I501" s="23" t="n">
        <v>240000</v>
      </c>
      <c r="J501" s="23" t="inlineStr">
        <is>
          <t>efectivo</t>
        </is>
      </c>
    </row>
    <row r="502" hidden="1" customFormat="1" s="23">
      <c r="A502" s="38" t="n">
        <v>46028</v>
      </c>
      <c r="B502" s="23" t="inlineStr">
        <is>
          <t>Chacal Caterine</t>
        </is>
      </c>
      <c r="C502" s="23" t="inlineStr">
        <is>
          <t>Bajaj OSZ 43H</t>
        </is>
      </c>
      <c r="D502" s="23" t="inlineStr">
        <is>
          <t>OSZ43H</t>
        </is>
      </c>
      <c r="H502" s="23" t="n">
        <v>240000</v>
      </c>
      <c r="I502" s="23" t="n">
        <v>240000</v>
      </c>
      <c r="J502" s="23" t="inlineStr">
        <is>
          <t>efectivo</t>
        </is>
      </c>
    </row>
    <row r="503" hidden="1" customFormat="1" s="23">
      <c r="A503" s="38" t="n">
        <v>46037</v>
      </c>
      <c r="B503" s="23" t="inlineStr">
        <is>
          <t>Chacal Caterine</t>
        </is>
      </c>
      <c r="C503" s="23" t="inlineStr">
        <is>
          <t>Bajaj OSZ 43H</t>
        </is>
      </c>
      <c r="D503" s="23" t="inlineStr">
        <is>
          <t>OSZ43H</t>
        </is>
      </c>
      <c r="H503" s="23" t="n">
        <v>240000</v>
      </c>
      <c r="I503" s="23" t="n">
        <v>240000</v>
      </c>
      <c r="J503" s="23" t="inlineStr">
        <is>
          <t>efectivo</t>
        </is>
      </c>
    </row>
    <row r="504" hidden="1" customFormat="1" s="23">
      <c r="A504" s="38" t="n">
        <v>46046</v>
      </c>
      <c r="B504" s="23" t="inlineStr">
        <is>
          <t>Chacal Caterine</t>
        </is>
      </c>
      <c r="C504" s="23" t="inlineStr">
        <is>
          <t>Bajaj OSZ 43H</t>
        </is>
      </c>
      <c r="D504" s="23" t="inlineStr">
        <is>
          <t>OSZ43H</t>
        </is>
      </c>
      <c r="H504" s="23" t="n">
        <v>240000</v>
      </c>
      <c r="I504" s="23" t="n">
        <v>240000</v>
      </c>
      <c r="J504" s="23" t="inlineStr">
        <is>
          <t>efectivo</t>
        </is>
      </c>
    </row>
    <row r="505" hidden="1" customFormat="1" s="23">
      <c r="A505" s="38" t="n">
        <v>46055</v>
      </c>
      <c r="B505" s="23" t="inlineStr">
        <is>
          <t>Chacal Caterine</t>
        </is>
      </c>
      <c r="C505" s="23" t="inlineStr">
        <is>
          <t>Bajaj OSZ 43H</t>
        </is>
      </c>
      <c r="D505" s="23" t="inlineStr">
        <is>
          <t>OSZ43H</t>
        </is>
      </c>
      <c r="H505" s="23" t="n">
        <v>240000</v>
      </c>
      <c r="I505" s="23" t="n">
        <v>240000</v>
      </c>
      <c r="J505" s="23" t="inlineStr">
        <is>
          <t>efectivo</t>
        </is>
      </c>
    </row>
    <row r="506" hidden="1" customFormat="1" s="23">
      <c r="A506" s="38" t="n">
        <v>46063</v>
      </c>
      <c r="B506" s="23" t="inlineStr">
        <is>
          <t>Chacal Caterine</t>
        </is>
      </c>
      <c r="C506" s="23" t="inlineStr">
        <is>
          <t>Bajaj OSZ 43H</t>
        </is>
      </c>
      <c r="D506" s="23" t="inlineStr">
        <is>
          <t>OSZ43H</t>
        </is>
      </c>
      <c r="H506" s="23" t="n">
        <v>240000</v>
      </c>
      <c r="I506" s="23" t="n">
        <v>240000</v>
      </c>
      <c r="J506" s="23" t="inlineStr">
        <is>
          <t>efectivo</t>
        </is>
      </c>
    </row>
    <row r="507" hidden="1" customFormat="1" s="23">
      <c r="A507" s="38" t="n">
        <v>46071</v>
      </c>
      <c r="B507" s="23" t="inlineStr">
        <is>
          <t>Chacal Caterine</t>
        </is>
      </c>
      <c r="C507" s="23" t="inlineStr">
        <is>
          <t>Bajaj OSZ 43H</t>
        </is>
      </c>
      <c r="D507" s="23" t="inlineStr">
        <is>
          <t>OSZ43H</t>
        </is>
      </c>
      <c r="H507" s="23" t="n">
        <v>240000</v>
      </c>
      <c r="I507" s="23" t="n">
        <v>240000</v>
      </c>
      <c r="J507" s="23" t="inlineStr">
        <is>
          <t>efectivo</t>
        </is>
      </c>
    </row>
    <row r="508" hidden="1" customFormat="1" s="23">
      <c r="A508" s="38" t="n">
        <v>46079</v>
      </c>
      <c r="B508" s="23" t="inlineStr">
        <is>
          <t>Chacal Caterine</t>
        </is>
      </c>
      <c r="C508" s="23" t="inlineStr">
        <is>
          <t>Bajaj OSZ 43H</t>
        </is>
      </c>
      <c r="D508" s="23" t="inlineStr">
        <is>
          <t>OSZ43H</t>
        </is>
      </c>
      <c r="H508" s="23" t="n">
        <v>240000</v>
      </c>
      <c r="I508" s="23" t="n">
        <v>240000</v>
      </c>
      <c r="J508" s="23" t="inlineStr">
        <is>
          <t>efectivo</t>
        </is>
      </c>
    </row>
    <row r="509" hidden="1" customFormat="1" s="23">
      <c r="A509" s="38" t="n">
        <v>46087</v>
      </c>
      <c r="B509" s="23" t="inlineStr">
        <is>
          <t>Chacal Caterine</t>
        </is>
      </c>
      <c r="C509" s="23" t="inlineStr">
        <is>
          <t>Bajaj OSZ 43H</t>
        </is>
      </c>
      <c r="D509" s="23" t="inlineStr">
        <is>
          <t>OSZ43H</t>
        </is>
      </c>
      <c r="H509" s="23" t="n">
        <v>240000</v>
      </c>
      <c r="I509" s="23" t="n">
        <v>240000</v>
      </c>
      <c r="J509" s="23" t="inlineStr">
        <is>
          <t>efectivo</t>
        </is>
      </c>
    </row>
    <row r="510" hidden="1" customFormat="1" s="23">
      <c r="A510" s="38" t="n">
        <v>46095</v>
      </c>
      <c r="B510" s="23" t="inlineStr">
        <is>
          <t>Chacal Caterine</t>
        </is>
      </c>
      <c r="C510" s="23" t="inlineStr">
        <is>
          <t>Bajaj OSZ 43H</t>
        </is>
      </c>
      <c r="D510" s="23" t="inlineStr">
        <is>
          <t>OSZ43H</t>
        </is>
      </c>
      <c r="H510" s="23" t="n">
        <v>240000</v>
      </c>
      <c r="I510" s="23" t="n">
        <v>240000</v>
      </c>
      <c r="J510" s="23" t="inlineStr">
        <is>
          <t>efectivo</t>
        </is>
      </c>
    </row>
    <row r="511" hidden="1" customFormat="1" s="23">
      <c r="A511" s="38" t="n">
        <v>46104</v>
      </c>
      <c r="B511" s="23" t="inlineStr">
        <is>
          <t>Chacal Caterine</t>
        </is>
      </c>
      <c r="C511" s="23" t="inlineStr">
        <is>
          <t>Bajaj OSZ 43H</t>
        </is>
      </c>
      <c r="D511" s="23" t="inlineStr">
        <is>
          <t>OSZ43H</t>
        </is>
      </c>
      <c r="H511" s="23" t="n">
        <v>240000</v>
      </c>
      <c r="I511" s="23" t="n">
        <v>240000</v>
      </c>
      <c r="J511" s="23" t="inlineStr">
        <is>
          <t>efectivo</t>
        </is>
      </c>
    </row>
    <row r="512" hidden="1" customFormat="1" s="23">
      <c r="A512" s="38" t="n">
        <v>46113</v>
      </c>
      <c r="B512" s="23" t="inlineStr">
        <is>
          <t>Chacal Caterine</t>
        </is>
      </c>
      <c r="C512" s="23" t="inlineStr">
        <is>
          <t>Bajaj OSZ 43H</t>
        </is>
      </c>
      <c r="D512" s="23" t="inlineStr">
        <is>
          <t>OSZ43H</t>
        </is>
      </c>
      <c r="H512" s="23" t="n">
        <v>240000</v>
      </c>
      <c r="I512" s="23" t="n">
        <v>240000</v>
      </c>
      <c r="J512" s="23" t="inlineStr">
        <is>
          <t>efectivo</t>
        </is>
      </c>
    </row>
    <row r="513" hidden="1" customFormat="1" s="23">
      <c r="A513" s="38" t="n">
        <v>46122</v>
      </c>
      <c r="B513" s="23" t="inlineStr">
        <is>
          <t>Chacal Caterine</t>
        </is>
      </c>
      <c r="C513" s="23" t="inlineStr">
        <is>
          <t>Bajaj OSZ 43H</t>
        </is>
      </c>
      <c r="D513" s="23" t="inlineStr">
        <is>
          <t>OSZ43H</t>
        </is>
      </c>
      <c r="H513" s="23" t="n">
        <v>240000</v>
      </c>
      <c r="I513" s="23" t="n">
        <v>240000</v>
      </c>
      <c r="J513" s="23" t="inlineStr">
        <is>
          <t>efectivo</t>
        </is>
      </c>
    </row>
    <row r="514" hidden="1" customFormat="1" s="23">
      <c r="A514" s="38" t="n">
        <v>46131</v>
      </c>
      <c r="B514" s="23" t="inlineStr">
        <is>
          <t>Chacal Caterine</t>
        </is>
      </c>
      <c r="C514" s="23" t="inlineStr">
        <is>
          <t>Bajaj OSZ 43H</t>
        </is>
      </c>
      <c r="D514" s="23" t="inlineStr">
        <is>
          <t>OSZ43H</t>
        </is>
      </c>
      <c r="H514" s="23" t="n">
        <v>240000</v>
      </c>
      <c r="I514" s="23" t="n">
        <v>240000</v>
      </c>
      <c r="J514" s="23" t="inlineStr">
        <is>
          <t>efectivo</t>
        </is>
      </c>
    </row>
    <row r="515" hidden="1" customFormat="1" s="23">
      <c r="A515" s="38" t="n">
        <v>46141</v>
      </c>
      <c r="B515" s="23" t="inlineStr">
        <is>
          <t>Chacal Caterine</t>
        </is>
      </c>
      <c r="C515" s="23" t="inlineStr">
        <is>
          <t>Bajaj OSZ 43H</t>
        </is>
      </c>
      <c r="D515" s="23" t="inlineStr">
        <is>
          <t>OSZ43H</t>
        </is>
      </c>
      <c r="H515" s="23" t="n">
        <v>240000</v>
      </c>
      <c r="I515" s="23" t="n">
        <v>240000</v>
      </c>
      <c r="J515" s="23" t="inlineStr">
        <is>
          <t>efectivo</t>
        </is>
      </c>
    </row>
    <row r="516" hidden="1" customFormat="1" s="23">
      <c r="A516" s="38" t="n">
        <v>46149</v>
      </c>
      <c r="B516" s="23" t="inlineStr">
        <is>
          <t>Chacal Caterine</t>
        </is>
      </c>
      <c r="C516" s="23" t="inlineStr">
        <is>
          <t>Bajaj OSZ 43H</t>
        </is>
      </c>
      <c r="D516" s="23" t="inlineStr">
        <is>
          <t>OSZ43H</t>
        </is>
      </c>
      <c r="H516" s="23" t="n">
        <v>240000</v>
      </c>
      <c r="I516" s="23" t="n">
        <v>240000</v>
      </c>
      <c r="J516" s="23" t="inlineStr">
        <is>
          <t>efectivo</t>
        </is>
      </c>
    </row>
    <row r="517" hidden="1" customFormat="1" s="23">
      <c r="A517" s="38" t="n">
        <v>46159</v>
      </c>
      <c r="B517" s="23" t="inlineStr">
        <is>
          <t>Chacal Caterine</t>
        </is>
      </c>
      <c r="C517" s="23" t="inlineStr">
        <is>
          <t>Bajaj OSZ 43H</t>
        </is>
      </c>
      <c r="D517" s="23" t="inlineStr">
        <is>
          <t>OSZ43H</t>
        </is>
      </c>
      <c r="H517" s="23" t="n">
        <v>240000</v>
      </c>
      <c r="I517" s="23" t="n">
        <v>240000</v>
      </c>
      <c r="J517" s="23" t="inlineStr">
        <is>
          <t>efectivo</t>
        </is>
      </c>
    </row>
    <row r="518" hidden="1" customFormat="1" s="23">
      <c r="A518" s="38" t="n">
        <v>46167</v>
      </c>
      <c r="B518" s="23" t="inlineStr">
        <is>
          <t>Chacal Caterine</t>
        </is>
      </c>
      <c r="C518" s="23" t="inlineStr">
        <is>
          <t>Bajaj OSZ 43H</t>
        </is>
      </c>
      <c r="D518" s="23" t="inlineStr">
        <is>
          <t>OSZ43H</t>
        </is>
      </c>
      <c r="H518" s="23" t="n">
        <v>240000</v>
      </c>
      <c r="I518" s="23" t="n">
        <v>240000</v>
      </c>
      <c r="J518" s="23" t="inlineStr">
        <is>
          <t>efectivo</t>
        </is>
      </c>
    </row>
    <row r="519" hidden="1" customFormat="1" s="23">
      <c r="A519" s="38" t="n">
        <v>46176</v>
      </c>
      <c r="B519" s="23" t="inlineStr">
        <is>
          <t>Chacal Caterine</t>
        </is>
      </c>
      <c r="C519" s="23" t="inlineStr">
        <is>
          <t>Bajaj OSZ 43H</t>
        </is>
      </c>
      <c r="D519" s="23" t="inlineStr">
        <is>
          <t>OSZ43H</t>
        </is>
      </c>
      <c r="H519" s="23" t="n">
        <v>240000</v>
      </c>
      <c r="I519" s="23" t="n">
        <v>240000</v>
      </c>
      <c r="J519" s="23" t="inlineStr">
        <is>
          <t>efectivo</t>
        </is>
      </c>
    </row>
    <row r="520" hidden="1" customFormat="1" s="23">
      <c r="A520" s="38" t="n">
        <v>46185</v>
      </c>
      <c r="B520" s="23" t="inlineStr">
        <is>
          <t>Chacal Caterine</t>
        </is>
      </c>
      <c r="C520" s="23" t="inlineStr">
        <is>
          <t>Bajaj OSZ 43H</t>
        </is>
      </c>
      <c r="D520" s="23" t="inlineStr">
        <is>
          <t>OSZ43H</t>
        </is>
      </c>
      <c r="H520" s="23" t="n">
        <v>240000</v>
      </c>
      <c r="I520" s="23" t="n">
        <v>240000</v>
      </c>
      <c r="J520" s="23" t="inlineStr">
        <is>
          <t>efectivo</t>
        </is>
      </c>
    </row>
    <row r="521" hidden="1" customFormat="1" s="23">
      <c r="A521" s="38" t="n">
        <v>46195</v>
      </c>
      <c r="B521" s="23" t="inlineStr">
        <is>
          <t>Chacal Caterine</t>
        </is>
      </c>
      <c r="C521" s="23" t="inlineStr">
        <is>
          <t>Bajaj OSZ 43H</t>
        </is>
      </c>
      <c r="D521" s="23" t="inlineStr">
        <is>
          <t>OSZ43H</t>
        </is>
      </c>
      <c r="H521" s="23" t="n">
        <v>240000</v>
      </c>
      <c r="I521" s="23" t="n">
        <v>240000</v>
      </c>
      <c r="J521" s="23" t="inlineStr">
        <is>
          <t>efectivo</t>
        </is>
      </c>
    </row>
    <row r="522" hidden="1" customFormat="1" s="23">
      <c r="A522" s="38" t="n">
        <v>46203</v>
      </c>
      <c r="B522" s="23" t="inlineStr">
        <is>
          <t>Chacal Caterine</t>
        </is>
      </c>
      <c r="C522" s="23" t="inlineStr">
        <is>
          <t>Bajaj OSZ 43H</t>
        </is>
      </c>
      <c r="D522" s="23" t="inlineStr">
        <is>
          <t>OSZ43H</t>
        </is>
      </c>
      <c r="H522" s="23" t="n">
        <v>240000</v>
      </c>
      <c r="I522" s="23" t="n">
        <v>240000</v>
      </c>
      <c r="J522" s="23" t="inlineStr">
        <is>
          <t>efectivo</t>
        </is>
      </c>
    </row>
    <row r="523" hidden="1" customFormat="1" s="23">
      <c r="A523" s="38" t="n">
        <v>46211</v>
      </c>
      <c r="B523" s="23" t="inlineStr">
        <is>
          <t>Chacal Caterine</t>
        </is>
      </c>
      <c r="C523" s="23" t="inlineStr">
        <is>
          <t>Bajaj OSZ 43H</t>
        </is>
      </c>
      <c r="D523" s="23" t="inlineStr">
        <is>
          <t>OSZ43H</t>
        </is>
      </c>
      <c r="H523" s="23" t="n">
        <v>240000</v>
      </c>
      <c r="I523" s="23" t="n">
        <v>240000</v>
      </c>
      <c r="J523" s="23" t="inlineStr">
        <is>
          <t>efectivo</t>
        </is>
      </c>
    </row>
    <row r="524" hidden="1" customFormat="1" s="23">
      <c r="A524" s="38" t="n">
        <v>46220</v>
      </c>
      <c r="B524" s="23" t="inlineStr">
        <is>
          <t>Chacal Caterine</t>
        </is>
      </c>
      <c r="C524" s="23" t="inlineStr">
        <is>
          <t>Bajaj OSZ 43H</t>
        </is>
      </c>
      <c r="D524" s="23" t="inlineStr">
        <is>
          <t>OSZ43H</t>
        </is>
      </c>
      <c r="H524" s="23" t="n">
        <v>240000</v>
      </c>
      <c r="I524" s="23" t="n">
        <v>240000</v>
      </c>
      <c r="J524" s="23" t="inlineStr">
        <is>
          <t>efectivo</t>
        </is>
      </c>
    </row>
    <row r="525" hidden="1" customFormat="1" s="23">
      <c r="A525" s="24" t="n">
        <v>45799</v>
      </c>
      <c r="B525" s="23" t="inlineStr">
        <is>
          <t>Wilian Viejo</t>
        </is>
      </c>
      <c r="C525" s="23" t="inlineStr">
        <is>
          <t>Bajaj OTE 02H</t>
        </is>
      </c>
      <c r="D525" s="23" t="inlineStr">
        <is>
          <t>OTE02H</t>
        </is>
      </c>
      <c r="H525" s="23" t="n">
        <v>240000</v>
      </c>
      <c r="I525" s="23" t="n">
        <v>240000</v>
      </c>
      <c r="J525" s="23" t="inlineStr">
        <is>
          <t>efectivo</t>
        </is>
      </c>
    </row>
    <row r="526" hidden="1" customFormat="1" s="23">
      <c r="A526" s="24" t="n">
        <v>45806</v>
      </c>
      <c r="B526" s="23" t="inlineStr">
        <is>
          <t>Wilian Viejo</t>
        </is>
      </c>
      <c r="C526" s="23" t="inlineStr">
        <is>
          <t>Bajaj OTE 02H</t>
        </is>
      </c>
      <c r="D526" s="23" t="inlineStr">
        <is>
          <t>OTE02H</t>
        </is>
      </c>
      <c r="H526" s="23" t="n">
        <v>240000</v>
      </c>
      <c r="I526" s="23" t="n">
        <v>240000</v>
      </c>
      <c r="J526" s="23" t="inlineStr">
        <is>
          <t>efectivo</t>
        </is>
      </c>
    </row>
    <row r="527" hidden="1" customFormat="1" s="23">
      <c r="A527" s="24" t="n">
        <v>45813</v>
      </c>
      <c r="B527" s="23" t="inlineStr">
        <is>
          <t>Wilian Viejo</t>
        </is>
      </c>
      <c r="C527" s="23" t="inlineStr">
        <is>
          <t>Bajaj OTE 02H</t>
        </is>
      </c>
      <c r="D527" s="23" t="inlineStr">
        <is>
          <t>OTE02H</t>
        </is>
      </c>
      <c r="H527" s="23" t="n">
        <v>240000</v>
      </c>
      <c r="I527" s="23" t="n">
        <v>240000</v>
      </c>
      <c r="J527" s="23" t="inlineStr">
        <is>
          <t>efectivo</t>
        </is>
      </c>
    </row>
    <row r="528" hidden="1" customFormat="1" s="23">
      <c r="A528" s="24" t="n">
        <v>45821</v>
      </c>
      <c r="B528" s="23" t="inlineStr">
        <is>
          <t>Wilian Viejo</t>
        </is>
      </c>
      <c r="C528" s="23" t="inlineStr">
        <is>
          <t>Bajaj OTE 02H</t>
        </is>
      </c>
      <c r="D528" s="23" t="inlineStr">
        <is>
          <t>OTE02H</t>
        </is>
      </c>
      <c r="H528" s="23" t="n">
        <v>240000</v>
      </c>
      <c r="I528" s="23" t="n">
        <v>240000</v>
      </c>
      <c r="J528" s="23" t="inlineStr">
        <is>
          <t>efectivo</t>
        </is>
      </c>
    </row>
    <row r="529" hidden="1" customFormat="1" s="23">
      <c r="A529" s="24" t="n">
        <v>45828</v>
      </c>
      <c r="B529" s="23" t="inlineStr">
        <is>
          <t>Wilian Viejo</t>
        </is>
      </c>
      <c r="C529" s="23" t="inlineStr">
        <is>
          <t>Bajaj OTE 02H</t>
        </is>
      </c>
      <c r="D529" s="23" t="inlineStr">
        <is>
          <t>OTE02H</t>
        </is>
      </c>
      <c r="H529" s="23" t="n">
        <v>240000</v>
      </c>
      <c r="I529" s="23" t="n">
        <v>240000</v>
      </c>
      <c r="J529" s="23" t="inlineStr">
        <is>
          <t>efectivo</t>
        </is>
      </c>
    </row>
    <row r="530" hidden="1" customFormat="1" s="23">
      <c r="A530" s="24" t="n">
        <v>45835</v>
      </c>
      <c r="B530" s="23" t="inlineStr">
        <is>
          <t>Wilian Viejo</t>
        </is>
      </c>
      <c r="C530" s="23" t="inlineStr">
        <is>
          <t>Bajaj OTE 02H</t>
        </is>
      </c>
      <c r="D530" s="23" t="inlineStr">
        <is>
          <t>OTE02H</t>
        </is>
      </c>
      <c r="H530" s="23" t="n">
        <v>240000</v>
      </c>
      <c r="I530" s="23" t="n">
        <v>240000</v>
      </c>
      <c r="J530" s="23" t="inlineStr">
        <is>
          <t>efectivo</t>
        </is>
      </c>
    </row>
    <row r="531" hidden="1" customFormat="1" s="23">
      <c r="A531" s="24" t="n">
        <v>45855</v>
      </c>
      <c r="B531" s="23" t="inlineStr">
        <is>
          <t>Wilian Viejo</t>
        </is>
      </c>
      <c r="C531" s="23" t="inlineStr">
        <is>
          <t>Bajaj OTE 02H</t>
        </is>
      </c>
      <c r="D531" s="23" t="inlineStr">
        <is>
          <t>OTE02H</t>
        </is>
      </c>
      <c r="H531" s="23" t="n">
        <v>240000</v>
      </c>
      <c r="I531" s="23" t="n">
        <v>240000</v>
      </c>
      <c r="J531" s="23" t="inlineStr">
        <is>
          <t>efectivo</t>
        </is>
      </c>
    </row>
    <row r="532" hidden="1" customFormat="1" s="23">
      <c r="A532" s="24" t="n">
        <v>45868</v>
      </c>
      <c r="B532" s="23" t="inlineStr">
        <is>
          <t>Wilian Viejo</t>
        </is>
      </c>
      <c r="C532" s="23" t="inlineStr">
        <is>
          <t>Bajaj OTE 02H</t>
        </is>
      </c>
      <c r="D532" s="23" t="inlineStr">
        <is>
          <t>OTE02H</t>
        </is>
      </c>
      <c r="H532" s="23" t="n">
        <v>240000</v>
      </c>
      <c r="I532" s="23" t="n">
        <v>240000</v>
      </c>
      <c r="J532" s="23" t="inlineStr">
        <is>
          <t>efectivo</t>
        </is>
      </c>
    </row>
    <row r="533" hidden="1" customFormat="1" s="23">
      <c r="A533" s="24" t="n">
        <v>45974</v>
      </c>
      <c r="B533" s="23" t="inlineStr">
        <is>
          <t>Wilian Viejo</t>
        </is>
      </c>
      <c r="C533" s="23" t="inlineStr">
        <is>
          <t>Bajaj OTE 02H</t>
        </is>
      </c>
      <c r="D533" s="23" t="inlineStr">
        <is>
          <t>OTE02H</t>
        </is>
      </c>
      <c r="H533" s="23" t="n">
        <v>240000</v>
      </c>
      <c r="I533" s="23" t="n">
        <v>240000</v>
      </c>
      <c r="J533" s="23" t="inlineStr">
        <is>
          <t>efectivo</t>
        </is>
      </c>
    </row>
    <row r="534" hidden="1" customFormat="1" s="23">
      <c r="A534" s="24" t="n">
        <v>45983</v>
      </c>
      <c r="B534" s="23" t="inlineStr">
        <is>
          <t>Wilian Viejo</t>
        </is>
      </c>
      <c r="C534" s="23" t="inlineStr">
        <is>
          <t>Bajaj OTE 02H</t>
        </is>
      </c>
      <c r="D534" s="23" t="inlineStr">
        <is>
          <t>OTE02H</t>
        </is>
      </c>
      <c r="H534" s="23" t="n">
        <v>240000</v>
      </c>
      <c r="I534" s="23" t="n">
        <v>240000</v>
      </c>
      <c r="J534" s="23" t="inlineStr">
        <is>
          <t>efectivo</t>
        </is>
      </c>
    </row>
    <row r="535" hidden="1" customFormat="1" s="23">
      <c r="A535" s="24" t="n">
        <v>45990</v>
      </c>
      <c r="B535" s="23" t="inlineStr">
        <is>
          <t>Wilian Viejo</t>
        </is>
      </c>
      <c r="C535" s="23" t="inlineStr">
        <is>
          <t>Bajaj OTE 02H</t>
        </is>
      </c>
      <c r="D535" s="23" t="inlineStr">
        <is>
          <t>OTE02H</t>
        </is>
      </c>
      <c r="H535" s="23" t="n">
        <v>240000</v>
      </c>
      <c r="I535" s="23" t="n">
        <v>240000</v>
      </c>
      <c r="J535" s="23" t="inlineStr">
        <is>
          <t>efectivo</t>
        </is>
      </c>
    </row>
    <row r="536" hidden="1" customFormat="1" s="23">
      <c r="A536" s="24" t="n">
        <v>45998</v>
      </c>
      <c r="B536" s="23" t="inlineStr">
        <is>
          <t>Wilian Viejo</t>
        </is>
      </c>
      <c r="C536" s="23" t="inlineStr">
        <is>
          <t>Bajaj OTE 02H</t>
        </is>
      </c>
      <c r="D536" s="23" t="inlineStr">
        <is>
          <t>OTE02H</t>
        </is>
      </c>
      <c r="H536" s="23" t="n">
        <v>240000</v>
      </c>
      <c r="I536" s="23" t="n">
        <v>240000</v>
      </c>
      <c r="J536" s="23" t="inlineStr">
        <is>
          <t>efectivo</t>
        </is>
      </c>
    </row>
    <row r="537" hidden="1" customFormat="1" s="23">
      <c r="A537" s="24" t="n">
        <v>46005</v>
      </c>
      <c r="B537" s="23" t="inlineStr">
        <is>
          <t>Wilian Viejo</t>
        </is>
      </c>
      <c r="C537" s="23" t="inlineStr">
        <is>
          <t>Bajaj OTE 02H</t>
        </is>
      </c>
      <c r="D537" s="23" t="inlineStr">
        <is>
          <t>OTE02H</t>
        </is>
      </c>
      <c r="H537" s="23" t="n">
        <v>240000</v>
      </c>
      <c r="I537" s="23" t="n">
        <v>240000</v>
      </c>
      <c r="J537" s="23" t="inlineStr">
        <is>
          <t>efectivo</t>
        </is>
      </c>
    </row>
    <row r="538" hidden="1" customFormat="1" s="23">
      <c r="A538" s="24" t="n">
        <v>46014</v>
      </c>
      <c r="B538" s="23" t="inlineStr">
        <is>
          <t>Wilian Viejo</t>
        </is>
      </c>
      <c r="C538" s="23" t="inlineStr">
        <is>
          <t>Bajaj OTE 02H</t>
        </is>
      </c>
      <c r="D538" s="23" t="inlineStr">
        <is>
          <t>OTE02H</t>
        </is>
      </c>
      <c r="H538" s="23" t="n">
        <v>240000</v>
      </c>
      <c r="I538" s="23" t="n">
        <v>240000</v>
      </c>
      <c r="J538" s="23" t="inlineStr">
        <is>
          <t>efectivo</t>
        </is>
      </c>
    </row>
    <row r="539" hidden="1" customFormat="1" s="23">
      <c r="A539" s="24" t="n">
        <v>46028</v>
      </c>
      <c r="B539" s="23" t="inlineStr">
        <is>
          <t>Wilian Viejo</t>
        </is>
      </c>
      <c r="C539" s="23" t="inlineStr">
        <is>
          <t>Bajaj OTE 02H</t>
        </is>
      </c>
      <c r="D539" s="23" t="inlineStr">
        <is>
          <t>OTE02H</t>
        </is>
      </c>
      <c r="H539" s="23" t="n">
        <v>240000</v>
      </c>
      <c r="I539" s="23" t="n">
        <v>240000</v>
      </c>
      <c r="J539" s="23" t="inlineStr">
        <is>
          <t>efectivo</t>
        </is>
      </c>
    </row>
    <row r="540" hidden="1" customFormat="1" s="23">
      <c r="A540" s="24" t="n">
        <v>46035</v>
      </c>
      <c r="B540" s="23" t="inlineStr">
        <is>
          <t>Wilian Viejo</t>
        </is>
      </c>
      <c r="C540" s="23" t="inlineStr">
        <is>
          <t>Bajaj OTE 02H</t>
        </is>
      </c>
      <c r="D540" s="23" t="inlineStr">
        <is>
          <t>OTE02H</t>
        </is>
      </c>
      <c r="H540" s="23" t="n">
        <v>240000</v>
      </c>
      <c r="I540" s="23" t="n">
        <v>240000</v>
      </c>
      <c r="J540" s="23" t="inlineStr">
        <is>
          <t>efectivo</t>
        </is>
      </c>
    </row>
    <row r="541" hidden="1" customFormat="1" s="23">
      <c r="A541" s="24" t="n">
        <v>46043</v>
      </c>
      <c r="B541" s="23" t="inlineStr">
        <is>
          <t>Wilian Viejo</t>
        </is>
      </c>
      <c r="C541" s="23" t="inlineStr">
        <is>
          <t>Bajaj OTE 02H</t>
        </is>
      </c>
      <c r="D541" s="23" t="inlineStr">
        <is>
          <t>OTE02H</t>
        </is>
      </c>
      <c r="H541" s="23" t="n">
        <v>240000</v>
      </c>
      <c r="I541" s="23" t="n">
        <v>240000</v>
      </c>
      <c r="J541" s="23" t="inlineStr">
        <is>
          <t>efectivo</t>
        </is>
      </c>
    </row>
    <row r="542" hidden="1" customFormat="1" s="23">
      <c r="A542" s="24" t="n">
        <v>46054</v>
      </c>
      <c r="B542" s="23" t="inlineStr">
        <is>
          <t>Wilian Viejo</t>
        </is>
      </c>
      <c r="C542" s="23" t="inlineStr">
        <is>
          <t>Bajaj OTE 02H</t>
        </is>
      </c>
      <c r="D542" s="23" t="inlineStr">
        <is>
          <t>OTE02H</t>
        </is>
      </c>
      <c r="H542" s="23" t="n">
        <v>240000</v>
      </c>
      <c r="I542" s="23" t="n">
        <v>240000</v>
      </c>
      <c r="J542" s="23" t="inlineStr">
        <is>
          <t>efectivo</t>
        </is>
      </c>
    </row>
    <row r="543" hidden="1" customFormat="1" s="23">
      <c r="A543" s="24" t="n">
        <v>46062</v>
      </c>
      <c r="B543" s="23" t="inlineStr">
        <is>
          <t>Wilian Viejo</t>
        </is>
      </c>
      <c r="C543" s="23" t="inlineStr">
        <is>
          <t>Bajaj OTE 02H</t>
        </is>
      </c>
      <c r="D543" s="23" t="inlineStr">
        <is>
          <t>OTE02H</t>
        </is>
      </c>
      <c r="H543" s="23" t="n">
        <v>240000</v>
      </c>
      <c r="I543" s="23" t="n">
        <v>240000</v>
      </c>
      <c r="J543" s="23" t="inlineStr">
        <is>
          <t>efectivo</t>
        </is>
      </c>
    </row>
    <row r="544" hidden="1" customFormat="1" s="23">
      <c r="A544" s="24" t="n">
        <v>46071</v>
      </c>
      <c r="B544" s="23" t="inlineStr">
        <is>
          <t>Wilian Viejo</t>
        </is>
      </c>
      <c r="C544" s="23" t="inlineStr">
        <is>
          <t>Bajaj OTE 02H</t>
        </is>
      </c>
      <c r="D544" s="23" t="inlineStr">
        <is>
          <t>OTE02H</t>
        </is>
      </c>
      <c r="H544" s="23" t="n">
        <v>240000</v>
      </c>
      <c r="I544" s="23" t="n">
        <v>240000</v>
      </c>
      <c r="J544" s="23" t="inlineStr">
        <is>
          <t>efectivo</t>
        </is>
      </c>
    </row>
    <row r="545" hidden="1" customFormat="1" s="23">
      <c r="A545" s="24" t="n">
        <v>46079</v>
      </c>
      <c r="B545" s="23" t="inlineStr">
        <is>
          <t>Wilian Viejo</t>
        </is>
      </c>
      <c r="C545" s="23" t="inlineStr">
        <is>
          <t>Bajaj OTE 02H</t>
        </is>
      </c>
      <c r="D545" s="23" t="inlineStr">
        <is>
          <t>OTE02H</t>
        </is>
      </c>
      <c r="H545" s="23" t="n">
        <v>240000</v>
      </c>
      <c r="I545" s="23" t="n">
        <v>240000</v>
      </c>
      <c r="J545" s="23" t="inlineStr">
        <is>
          <t>efectivo</t>
        </is>
      </c>
    </row>
    <row r="546" hidden="1" customFormat="1" s="23">
      <c r="A546" s="24" t="n">
        <v>46087</v>
      </c>
      <c r="B546" s="23" t="inlineStr">
        <is>
          <t>Wilian Viejo</t>
        </is>
      </c>
      <c r="C546" s="23" t="inlineStr">
        <is>
          <t>Bajaj OTE 02H</t>
        </is>
      </c>
      <c r="D546" s="23" t="inlineStr">
        <is>
          <t>OTE02H</t>
        </is>
      </c>
      <c r="H546" s="23" t="n">
        <v>240000</v>
      </c>
      <c r="I546" s="23" t="n">
        <v>240000</v>
      </c>
      <c r="J546" s="23" t="inlineStr">
        <is>
          <t>efectivo</t>
        </is>
      </c>
    </row>
    <row r="547" hidden="1" customFormat="1" s="23">
      <c r="A547" s="24" t="n">
        <v>46097</v>
      </c>
      <c r="B547" s="23" t="inlineStr">
        <is>
          <t>Wilian Viejo</t>
        </is>
      </c>
      <c r="C547" s="23" t="inlineStr">
        <is>
          <t>Bajaj OTE 02H</t>
        </is>
      </c>
      <c r="D547" s="23" t="inlineStr">
        <is>
          <t>OTE02H</t>
        </is>
      </c>
      <c r="H547" s="23" t="n">
        <v>240000</v>
      </c>
      <c r="I547" s="23" t="n">
        <v>240000</v>
      </c>
      <c r="J547" s="23" t="inlineStr">
        <is>
          <t>efectivo</t>
        </is>
      </c>
    </row>
    <row r="548" hidden="1" customFormat="1" s="23">
      <c r="A548" s="24" t="n">
        <v>46107</v>
      </c>
      <c r="B548" s="23" t="inlineStr">
        <is>
          <t>Wilian Viejo</t>
        </is>
      </c>
      <c r="C548" s="23" t="inlineStr">
        <is>
          <t>Bajaj OTE 02H</t>
        </is>
      </c>
      <c r="D548" s="23" t="inlineStr">
        <is>
          <t>OTE02H</t>
        </is>
      </c>
      <c r="H548" s="23" t="n">
        <v>240000</v>
      </c>
      <c r="I548" s="23" t="n">
        <v>240000</v>
      </c>
      <c r="J548" s="23" t="inlineStr">
        <is>
          <t>efectivo</t>
        </is>
      </c>
    </row>
    <row r="549" hidden="1" customFormat="1" s="23">
      <c r="A549" s="24" t="n">
        <v>46115</v>
      </c>
      <c r="B549" s="23" t="inlineStr">
        <is>
          <t>Wilian Viejo</t>
        </is>
      </c>
      <c r="C549" s="23" t="inlineStr">
        <is>
          <t>Bajaj OTE 02H</t>
        </is>
      </c>
      <c r="D549" s="23" t="inlineStr">
        <is>
          <t>OTE02H</t>
        </is>
      </c>
      <c r="H549" s="23" t="n">
        <v>240000</v>
      </c>
      <c r="I549" s="23" t="n">
        <v>240000</v>
      </c>
      <c r="J549" s="23" t="inlineStr">
        <is>
          <t>efectivo</t>
        </is>
      </c>
    </row>
    <row r="550" hidden="1" customFormat="1" s="23">
      <c r="A550" s="24" t="n">
        <v>46121</v>
      </c>
      <c r="B550" s="23" t="inlineStr">
        <is>
          <t>Wilian Viejo</t>
        </is>
      </c>
      <c r="C550" s="23" t="inlineStr">
        <is>
          <t>Bajaj OTE 02H</t>
        </is>
      </c>
      <c r="D550" s="23" t="inlineStr">
        <is>
          <t>OTE02H</t>
        </is>
      </c>
      <c r="H550" s="23" t="n">
        <v>240000</v>
      </c>
      <c r="I550" s="23" t="n">
        <v>240000</v>
      </c>
      <c r="J550" s="23" t="inlineStr">
        <is>
          <t>efectivo</t>
        </is>
      </c>
    </row>
    <row r="551" hidden="1" customFormat="1" s="23">
      <c r="A551" s="24" t="n">
        <v>46130</v>
      </c>
      <c r="B551" s="23" t="inlineStr">
        <is>
          <t>Wilian Viejo</t>
        </is>
      </c>
      <c r="C551" s="23" t="inlineStr">
        <is>
          <t>Bajaj OTE 02H</t>
        </is>
      </c>
      <c r="D551" s="23" t="inlineStr">
        <is>
          <t>OTE02H</t>
        </is>
      </c>
      <c r="H551" s="23" t="n">
        <v>240000</v>
      </c>
      <c r="I551" s="23" t="n">
        <v>240000</v>
      </c>
      <c r="J551" s="23" t="inlineStr">
        <is>
          <t>efectivo</t>
        </is>
      </c>
    </row>
    <row r="552" hidden="1" customFormat="1" s="23">
      <c r="A552" s="24" t="n">
        <v>46139</v>
      </c>
      <c r="B552" s="23" t="inlineStr">
        <is>
          <t>Wilian Viejo</t>
        </is>
      </c>
      <c r="C552" s="23" t="inlineStr">
        <is>
          <t>Bajaj OTE 02H</t>
        </is>
      </c>
      <c r="D552" s="23" t="inlineStr">
        <is>
          <t>OTE02H</t>
        </is>
      </c>
      <c r="H552" s="23" t="n">
        <v>240000</v>
      </c>
      <c r="I552" s="23" t="n">
        <v>240000</v>
      </c>
      <c r="J552" s="23" t="inlineStr">
        <is>
          <t>efectivo</t>
        </is>
      </c>
    </row>
    <row r="553" hidden="1" customFormat="1" s="23">
      <c r="A553" s="24" t="n">
        <v>46148</v>
      </c>
      <c r="B553" s="23" t="inlineStr">
        <is>
          <t>Wilian Viejo</t>
        </is>
      </c>
      <c r="C553" s="23" t="inlineStr">
        <is>
          <t>Bajaj OTE 02H</t>
        </is>
      </c>
      <c r="D553" s="23" t="inlineStr">
        <is>
          <t>OTE02H</t>
        </is>
      </c>
      <c r="H553" s="23" t="n">
        <v>240000</v>
      </c>
      <c r="I553" s="23" t="n">
        <v>240000</v>
      </c>
      <c r="J553" s="23" t="inlineStr">
        <is>
          <t>efectivo</t>
        </is>
      </c>
    </row>
    <row r="554" hidden="1" customFormat="1" s="23">
      <c r="A554" s="24" t="n">
        <v>46158</v>
      </c>
      <c r="B554" s="23" t="inlineStr">
        <is>
          <t>Wilian Viejo</t>
        </is>
      </c>
      <c r="C554" s="23" t="inlineStr">
        <is>
          <t>Bajaj OTE 02H</t>
        </is>
      </c>
      <c r="D554" s="23" t="inlineStr">
        <is>
          <t>OTE02H</t>
        </is>
      </c>
      <c r="H554" s="23" t="n">
        <v>240000</v>
      </c>
      <c r="I554" s="23" t="n">
        <v>240000</v>
      </c>
      <c r="J554" s="23" t="inlineStr">
        <is>
          <t>efectivo</t>
        </is>
      </c>
    </row>
    <row r="555" hidden="1" customFormat="1" s="23">
      <c r="A555" s="24" t="n">
        <v>46164</v>
      </c>
      <c r="B555" s="23" t="inlineStr">
        <is>
          <t>Wilian Viejo</t>
        </is>
      </c>
      <c r="C555" s="23" t="inlineStr">
        <is>
          <t>Bajaj OTE 02H</t>
        </is>
      </c>
      <c r="D555" s="23" t="inlineStr">
        <is>
          <t>OTE02H</t>
        </is>
      </c>
      <c r="H555" s="23" t="n">
        <v>240000</v>
      </c>
      <c r="I555" s="23" t="n">
        <v>240000</v>
      </c>
      <c r="J555" s="23" t="inlineStr">
        <is>
          <t>efectivo</t>
        </is>
      </c>
    </row>
    <row r="556" hidden="1" customFormat="1" s="23">
      <c r="A556" s="24" t="n">
        <v>46171</v>
      </c>
      <c r="B556" s="23" t="inlineStr">
        <is>
          <t>Wilian Viejo</t>
        </is>
      </c>
      <c r="C556" s="23" t="inlineStr">
        <is>
          <t>Bajaj OTE 02H</t>
        </is>
      </c>
      <c r="D556" s="23" t="inlineStr">
        <is>
          <t>OTE02H</t>
        </is>
      </c>
      <c r="H556" s="23" t="n">
        <v>240000</v>
      </c>
      <c r="I556" s="23" t="n">
        <v>240000</v>
      </c>
      <c r="J556" s="23" t="inlineStr">
        <is>
          <t>efectivo</t>
        </is>
      </c>
    </row>
    <row r="557" hidden="1" customFormat="1" s="23">
      <c r="A557" s="24" t="n">
        <v>46181</v>
      </c>
      <c r="B557" s="23" t="inlineStr">
        <is>
          <t>Wilian Viejo</t>
        </is>
      </c>
      <c r="C557" s="23" t="inlineStr">
        <is>
          <t>Bajaj OTE 02H</t>
        </is>
      </c>
      <c r="D557" s="23" t="inlineStr">
        <is>
          <t>OTE02H</t>
        </is>
      </c>
      <c r="H557" s="23" t="n">
        <v>240000</v>
      </c>
      <c r="I557" s="23" t="n">
        <v>240000</v>
      </c>
      <c r="J557" s="23" t="inlineStr">
        <is>
          <t>efectivo</t>
        </is>
      </c>
    </row>
    <row r="558" hidden="1" customFormat="1" s="23">
      <c r="A558" s="24" t="n">
        <v>46192</v>
      </c>
      <c r="B558" s="23" t="inlineStr">
        <is>
          <t>Wilian Viejo</t>
        </is>
      </c>
      <c r="C558" s="23" t="inlineStr">
        <is>
          <t>Bajaj OTE 02H</t>
        </is>
      </c>
      <c r="D558" s="23" t="inlineStr">
        <is>
          <t>OTE02H</t>
        </is>
      </c>
      <c r="H558" s="23" t="n">
        <v>240000</v>
      </c>
      <c r="I558" s="23" t="n">
        <v>240000</v>
      </c>
      <c r="J558" s="23" t="inlineStr">
        <is>
          <t>efectivo</t>
        </is>
      </c>
    </row>
    <row r="559" hidden="1" customFormat="1" s="23">
      <c r="A559" s="38" t="n">
        <v>45801</v>
      </c>
      <c r="B559" s="23" t="inlineStr">
        <is>
          <t>Darwin Yaimis Ysabel</t>
        </is>
      </c>
      <c r="C559" s="23" t="inlineStr">
        <is>
          <t>Bajaj OTE 80H</t>
        </is>
      </c>
      <c r="D559" s="23" t="inlineStr">
        <is>
          <t>OTE80H</t>
        </is>
      </c>
      <c r="H559" s="23" t="n">
        <v>240000</v>
      </c>
      <c r="I559" s="23" t="n">
        <v>240000</v>
      </c>
      <c r="J559" s="23" t="inlineStr">
        <is>
          <t>efectivo</t>
        </is>
      </c>
    </row>
    <row r="560" hidden="1" customFormat="1" s="23">
      <c r="A560" s="38" t="n">
        <v>45808</v>
      </c>
      <c r="B560" s="23" t="inlineStr">
        <is>
          <t>Darwin Yaimis Ysabel</t>
        </is>
      </c>
      <c r="C560" s="23" t="inlineStr">
        <is>
          <t>Bajaj OTE 80H</t>
        </is>
      </c>
      <c r="D560" s="23" t="inlineStr">
        <is>
          <t>OTE80H</t>
        </is>
      </c>
      <c r="H560" s="23" t="n">
        <v>240000</v>
      </c>
      <c r="I560" s="23" t="n">
        <v>240000</v>
      </c>
      <c r="J560" s="23" t="inlineStr">
        <is>
          <t>efectivo</t>
        </is>
      </c>
    </row>
    <row r="561" hidden="1" customFormat="1" s="23">
      <c r="A561" s="38" t="n">
        <v>45815</v>
      </c>
      <c r="B561" s="23" t="inlineStr">
        <is>
          <t>Darwin Yaimis Ysabel</t>
        </is>
      </c>
      <c r="C561" s="23" t="inlineStr">
        <is>
          <t>Bajaj OTE 80H</t>
        </is>
      </c>
      <c r="D561" s="23" t="inlineStr">
        <is>
          <t>OTE80H</t>
        </is>
      </c>
      <c r="H561" s="23" t="n">
        <v>240000</v>
      </c>
      <c r="I561" s="23" t="n">
        <v>240000</v>
      </c>
      <c r="J561" s="23" t="inlineStr">
        <is>
          <t>efectivo</t>
        </is>
      </c>
    </row>
    <row r="562" hidden="1" customFormat="1" s="23">
      <c r="A562" s="38" t="n">
        <v>45825</v>
      </c>
      <c r="B562" s="23" t="inlineStr">
        <is>
          <t>Darwin Yaimis Ysabel</t>
        </is>
      </c>
      <c r="C562" s="23" t="inlineStr">
        <is>
          <t>Bajaj OTE 80H</t>
        </is>
      </c>
      <c r="D562" s="23" t="inlineStr">
        <is>
          <t>OTE80H</t>
        </is>
      </c>
      <c r="H562" s="23" t="n">
        <v>240000</v>
      </c>
      <c r="I562" s="23" t="n">
        <v>240000</v>
      </c>
      <c r="J562" s="23" t="inlineStr">
        <is>
          <t>efectivo</t>
        </is>
      </c>
    </row>
    <row r="563" hidden="1" customFormat="1" s="23">
      <c r="A563" s="38" t="n">
        <v>45831</v>
      </c>
      <c r="B563" s="23" t="inlineStr">
        <is>
          <t>Darwin Yaimis Ysabel</t>
        </is>
      </c>
      <c r="C563" s="23" t="inlineStr">
        <is>
          <t>Bajaj OTE 80H</t>
        </is>
      </c>
      <c r="D563" s="23" t="inlineStr">
        <is>
          <t>OTE80H</t>
        </is>
      </c>
      <c r="H563" s="23" t="n">
        <v>240000</v>
      </c>
      <c r="I563" s="23" t="n">
        <v>240000</v>
      </c>
      <c r="J563" s="23" t="inlineStr">
        <is>
          <t>efectivo</t>
        </is>
      </c>
    </row>
    <row r="564" hidden="1" customFormat="1" s="23">
      <c r="A564" s="38" t="n">
        <v>45836</v>
      </c>
      <c r="B564" s="23" t="inlineStr">
        <is>
          <t>Darwin Yaimis Ysabel</t>
        </is>
      </c>
      <c r="C564" s="23" t="inlineStr">
        <is>
          <t>Bajaj OTE 80H</t>
        </is>
      </c>
      <c r="D564" s="23" t="inlineStr">
        <is>
          <t>OTE80H</t>
        </is>
      </c>
      <c r="H564" s="23" t="n">
        <v>240000</v>
      </c>
      <c r="I564" s="23" t="n">
        <v>240000</v>
      </c>
      <c r="J564" s="23" t="inlineStr">
        <is>
          <t>efectivo</t>
        </is>
      </c>
    </row>
    <row r="565" hidden="1" customFormat="1" s="23">
      <c r="A565" s="38" t="n">
        <v>45843</v>
      </c>
      <c r="B565" s="23" t="inlineStr">
        <is>
          <t>Darwin Yaimis Ysabel</t>
        </is>
      </c>
      <c r="C565" s="23" t="inlineStr">
        <is>
          <t>Bajaj OTE 80H</t>
        </is>
      </c>
      <c r="D565" s="23" t="inlineStr">
        <is>
          <t>OTE80H</t>
        </is>
      </c>
      <c r="H565" s="23" t="n">
        <v>240000</v>
      </c>
      <c r="I565" s="23" t="n">
        <v>240000</v>
      </c>
      <c r="J565" s="23" t="inlineStr">
        <is>
          <t>efectivo</t>
        </is>
      </c>
    </row>
    <row r="566" hidden="1" customFormat="1" s="23">
      <c r="A566" s="38" t="n">
        <v>45853</v>
      </c>
      <c r="B566" s="23" t="inlineStr">
        <is>
          <t>Darwin Yaimis Ysabel</t>
        </is>
      </c>
      <c r="C566" s="23" t="inlineStr">
        <is>
          <t>Bajaj OTE 80H</t>
        </is>
      </c>
      <c r="D566" s="23" t="inlineStr">
        <is>
          <t>OTE80H</t>
        </is>
      </c>
      <c r="H566" s="23" t="n">
        <v>240000</v>
      </c>
      <c r="I566" s="23" t="n">
        <v>240000</v>
      </c>
      <c r="J566" s="23" t="inlineStr">
        <is>
          <t>efectivo</t>
        </is>
      </c>
    </row>
    <row r="567" hidden="1" customFormat="1" s="23">
      <c r="A567" s="38" t="n">
        <v>45860</v>
      </c>
      <c r="B567" s="23" t="inlineStr">
        <is>
          <t>Darwin Yaimis Ysabel</t>
        </is>
      </c>
      <c r="C567" s="23" t="inlineStr">
        <is>
          <t>Bajaj OTE 80H</t>
        </is>
      </c>
      <c r="D567" s="23" t="inlineStr">
        <is>
          <t>OTE80H</t>
        </is>
      </c>
      <c r="H567" s="23" t="n">
        <v>240000</v>
      </c>
      <c r="I567" s="23" t="n">
        <v>240000</v>
      </c>
      <c r="J567" s="23" t="inlineStr">
        <is>
          <t>efectivo</t>
        </is>
      </c>
    </row>
    <row r="568" hidden="1" customFormat="1" s="23">
      <c r="A568" s="38" t="n">
        <v>45871</v>
      </c>
      <c r="B568" s="23" t="inlineStr">
        <is>
          <t>Darwin Yaimis Ysabel</t>
        </is>
      </c>
      <c r="C568" s="23" t="inlineStr">
        <is>
          <t>Bajaj OTE 80H</t>
        </is>
      </c>
      <c r="D568" s="23" t="inlineStr">
        <is>
          <t>OTE80H</t>
        </is>
      </c>
      <c r="H568" s="23" t="n">
        <v>240000</v>
      </c>
      <c r="I568" s="23" t="n">
        <v>240000</v>
      </c>
      <c r="J568" s="23" t="inlineStr">
        <is>
          <t>efectivo</t>
        </is>
      </c>
    </row>
    <row r="569" hidden="1" customFormat="1" s="23">
      <c r="A569" s="38" t="n">
        <v>45882</v>
      </c>
      <c r="B569" s="23" t="inlineStr">
        <is>
          <t>Darwin Yaimis Ysabel</t>
        </is>
      </c>
      <c r="C569" s="23" t="inlineStr">
        <is>
          <t>Bajaj OTE 80H</t>
        </is>
      </c>
      <c r="D569" s="23" t="inlineStr">
        <is>
          <t>OTE80H</t>
        </is>
      </c>
      <c r="H569" s="23" t="n">
        <v>240000</v>
      </c>
      <c r="I569" s="23" t="n">
        <v>240000</v>
      </c>
      <c r="J569" s="23" t="inlineStr">
        <is>
          <t>efectivo</t>
        </is>
      </c>
    </row>
    <row r="570" hidden="1" customFormat="1" s="23">
      <c r="A570" s="38" t="n">
        <v>45891</v>
      </c>
      <c r="B570" s="23" t="inlineStr">
        <is>
          <t>Darwin Yaimis Ysabel</t>
        </is>
      </c>
      <c r="C570" s="23" t="inlineStr">
        <is>
          <t>Bajaj OTE 80H</t>
        </is>
      </c>
      <c r="D570" s="23" t="inlineStr">
        <is>
          <t>OTE80H</t>
        </is>
      </c>
      <c r="H570" s="23" t="n">
        <v>240000</v>
      </c>
      <c r="I570" s="23" t="n">
        <v>240000</v>
      </c>
      <c r="J570" s="23" t="inlineStr">
        <is>
          <t>efectivo</t>
        </is>
      </c>
    </row>
    <row r="571" hidden="1" customFormat="1" s="23">
      <c r="A571" s="38" t="n">
        <v>45898</v>
      </c>
      <c r="B571" s="23" t="inlineStr">
        <is>
          <t>Darwin Yaimis Ysabel</t>
        </is>
      </c>
      <c r="C571" s="23" t="inlineStr">
        <is>
          <t>Bajaj OTE 80H</t>
        </is>
      </c>
      <c r="D571" s="23" t="inlineStr">
        <is>
          <t>OTE80H</t>
        </is>
      </c>
      <c r="H571" s="23" t="n">
        <v>240000</v>
      </c>
      <c r="I571" s="23" t="n">
        <v>240000</v>
      </c>
      <c r="J571" s="23" t="inlineStr">
        <is>
          <t>efectivo</t>
        </is>
      </c>
    </row>
    <row r="572" hidden="1" customFormat="1" s="23">
      <c r="A572" s="38" t="n">
        <v>45906</v>
      </c>
      <c r="B572" s="23" t="inlineStr">
        <is>
          <t>Darwin Yaimis Ysabel</t>
        </is>
      </c>
      <c r="C572" s="23" t="inlineStr">
        <is>
          <t>Bajaj OTE 80H</t>
        </is>
      </c>
      <c r="D572" s="23" t="inlineStr">
        <is>
          <t>OTE80H</t>
        </is>
      </c>
      <c r="H572" s="23" t="n">
        <v>240000</v>
      </c>
      <c r="I572" s="23" t="n">
        <v>240000</v>
      </c>
      <c r="J572" s="23" t="inlineStr">
        <is>
          <t>efectivo</t>
        </is>
      </c>
    </row>
    <row r="573" hidden="1" customFormat="1" s="23">
      <c r="A573" s="38" t="n">
        <v>45912</v>
      </c>
      <c r="B573" s="23" t="inlineStr">
        <is>
          <t>Darwin Yaimis Ysabel</t>
        </is>
      </c>
      <c r="C573" s="23" t="inlineStr">
        <is>
          <t>Bajaj OTE 80H</t>
        </is>
      </c>
      <c r="D573" s="23" t="inlineStr">
        <is>
          <t>OTE80H</t>
        </is>
      </c>
      <c r="H573" s="23" t="n">
        <v>240000</v>
      </c>
      <c r="I573" s="23" t="n">
        <v>240000</v>
      </c>
      <c r="J573" s="23" t="inlineStr">
        <is>
          <t>efectivo</t>
        </is>
      </c>
    </row>
    <row r="574" hidden="1" customFormat="1" s="23">
      <c r="A574" s="38" t="n">
        <v>45918</v>
      </c>
      <c r="B574" s="23" t="inlineStr">
        <is>
          <t>Darwin Yaimis Ysabel</t>
        </is>
      </c>
      <c r="C574" s="23" t="inlineStr">
        <is>
          <t>Bajaj OTE 80H</t>
        </is>
      </c>
      <c r="D574" s="23" t="inlineStr">
        <is>
          <t>OTE80H</t>
        </is>
      </c>
      <c r="H574" s="23" t="n">
        <v>240000</v>
      </c>
      <c r="I574" s="23" t="n">
        <v>240000</v>
      </c>
      <c r="J574" s="23" t="inlineStr">
        <is>
          <t>efectivo</t>
        </is>
      </c>
    </row>
    <row r="575" hidden="1" customFormat="1" s="23">
      <c r="A575" s="38" t="n">
        <v>45925</v>
      </c>
      <c r="B575" s="23" t="inlineStr">
        <is>
          <t>Darwin Yaimis Ysabel</t>
        </is>
      </c>
      <c r="C575" s="23" t="inlineStr">
        <is>
          <t>Bajaj OTE 80H</t>
        </is>
      </c>
      <c r="D575" s="23" t="inlineStr">
        <is>
          <t>OTE80H</t>
        </is>
      </c>
      <c r="H575" s="23" t="n">
        <v>240000</v>
      </c>
      <c r="I575" s="23" t="n">
        <v>240000</v>
      </c>
      <c r="J575" s="23" t="inlineStr">
        <is>
          <t>efectivo</t>
        </is>
      </c>
    </row>
    <row r="576" hidden="1" customFormat="1" s="23">
      <c r="A576" s="38" t="n">
        <v>45933</v>
      </c>
      <c r="B576" s="23" t="inlineStr">
        <is>
          <t>Darwin Yaimis Ysabel</t>
        </is>
      </c>
      <c r="C576" s="23" t="inlineStr">
        <is>
          <t>Bajaj OTE 80H</t>
        </is>
      </c>
      <c r="D576" s="23" t="inlineStr">
        <is>
          <t>OTE80H</t>
        </is>
      </c>
      <c r="H576" s="23" t="n">
        <v>240000</v>
      </c>
      <c r="I576" s="23" t="n">
        <v>240000</v>
      </c>
      <c r="J576" s="23" t="inlineStr">
        <is>
          <t>efectivo</t>
        </is>
      </c>
    </row>
    <row r="577" hidden="1" customFormat="1" s="23">
      <c r="A577" s="38" t="n">
        <v>45941</v>
      </c>
      <c r="B577" s="23" t="inlineStr">
        <is>
          <t>Darwin Yaimis Ysabel</t>
        </is>
      </c>
      <c r="C577" s="23" t="inlineStr">
        <is>
          <t>Bajaj OTE 80H</t>
        </is>
      </c>
      <c r="D577" s="23" t="inlineStr">
        <is>
          <t>OTE80H</t>
        </is>
      </c>
      <c r="H577" s="23" t="n">
        <v>240000</v>
      </c>
      <c r="I577" s="23" t="n">
        <v>240000</v>
      </c>
      <c r="J577" s="23" t="inlineStr">
        <is>
          <t>efectivo</t>
        </is>
      </c>
    </row>
    <row r="578" hidden="1" customFormat="1" s="23">
      <c r="A578" s="38" t="n">
        <v>45953</v>
      </c>
      <c r="B578" s="23" t="inlineStr">
        <is>
          <t>Darwin Yaimis Ysabel</t>
        </is>
      </c>
      <c r="C578" s="23" t="inlineStr">
        <is>
          <t>Bajaj OTE 80H</t>
        </is>
      </c>
      <c r="D578" s="23" t="inlineStr">
        <is>
          <t>OTE80H</t>
        </is>
      </c>
      <c r="H578" s="23" t="n">
        <v>240000</v>
      </c>
      <c r="I578" s="23" t="n">
        <v>240000</v>
      </c>
      <c r="J578" s="23" t="inlineStr">
        <is>
          <t>efectivo</t>
        </is>
      </c>
    </row>
    <row r="579" hidden="1" customFormat="1" s="23">
      <c r="A579" s="38" t="n">
        <v>45976</v>
      </c>
      <c r="B579" s="23" t="inlineStr">
        <is>
          <t>Darwin Yaimis Ysabel</t>
        </is>
      </c>
      <c r="C579" s="23" t="inlineStr">
        <is>
          <t>Bajaj OTE 80H</t>
        </is>
      </c>
      <c r="D579" s="23" t="inlineStr">
        <is>
          <t>OTE80H</t>
        </is>
      </c>
      <c r="H579" s="23" t="n">
        <v>240000</v>
      </c>
      <c r="I579" s="23" t="n">
        <v>240000</v>
      </c>
      <c r="J579" s="23" t="inlineStr">
        <is>
          <t>efectivo</t>
        </is>
      </c>
    </row>
    <row r="580" hidden="1" customFormat="1" s="23">
      <c r="A580" s="38" t="n">
        <v>45995</v>
      </c>
      <c r="B580" s="23" t="inlineStr">
        <is>
          <t>Darwin Yaimis Ysabel</t>
        </is>
      </c>
      <c r="C580" s="23" t="inlineStr">
        <is>
          <t>Bajaj OTE 80H</t>
        </is>
      </c>
      <c r="D580" s="23" t="inlineStr">
        <is>
          <t>OTE80H</t>
        </is>
      </c>
      <c r="H580" s="23" t="n">
        <v>240000</v>
      </c>
      <c r="I580" s="23" t="n">
        <v>240000</v>
      </c>
      <c r="J580" s="23" t="inlineStr">
        <is>
          <t>efectivo</t>
        </is>
      </c>
    </row>
    <row r="581" hidden="1" customFormat="1" s="23">
      <c r="A581" s="38" t="n">
        <v>46001</v>
      </c>
      <c r="B581" s="23" t="inlineStr">
        <is>
          <t>Darwin Yaimis Ysabel</t>
        </is>
      </c>
      <c r="C581" s="23" t="inlineStr">
        <is>
          <t>Bajaj OTE 80H</t>
        </is>
      </c>
      <c r="D581" s="23" t="inlineStr">
        <is>
          <t>OTE80H</t>
        </is>
      </c>
      <c r="H581" s="23" t="n">
        <v>240000</v>
      </c>
      <c r="I581" s="23" t="n">
        <v>240000</v>
      </c>
      <c r="J581" s="23" t="inlineStr">
        <is>
          <t>efectivo</t>
        </is>
      </c>
    </row>
    <row r="582" hidden="1" customFormat="1" s="23">
      <c r="A582" s="38" t="n">
        <v>46037</v>
      </c>
      <c r="B582" s="23" t="inlineStr">
        <is>
          <t>Darwin Yaimis Ysabel</t>
        </is>
      </c>
      <c r="C582" s="23" t="inlineStr">
        <is>
          <t>Bajaj OTE 80H</t>
        </is>
      </c>
      <c r="D582" s="23" t="inlineStr">
        <is>
          <t>OTE80H</t>
        </is>
      </c>
      <c r="H582" s="23" t="n">
        <v>240000</v>
      </c>
      <c r="I582" s="23" t="n">
        <v>240000</v>
      </c>
      <c r="J582" s="23" t="inlineStr">
        <is>
          <t>efectivo</t>
        </is>
      </c>
    </row>
    <row r="583" hidden="1" customFormat="1" s="23">
      <c r="A583" s="38" t="n">
        <v>46044</v>
      </c>
      <c r="B583" s="23" t="inlineStr">
        <is>
          <t>Darwin Yaimis Ysabel</t>
        </is>
      </c>
      <c r="C583" s="23" t="inlineStr">
        <is>
          <t>Bajaj OTE 80H</t>
        </is>
      </c>
      <c r="D583" s="23" t="inlineStr">
        <is>
          <t>OTE80H</t>
        </is>
      </c>
      <c r="H583" s="23" t="n">
        <v>240000</v>
      </c>
      <c r="I583" s="23" t="n">
        <v>240000</v>
      </c>
      <c r="J583" s="23" t="inlineStr">
        <is>
          <t>efectivo</t>
        </is>
      </c>
    </row>
    <row r="584" hidden="1" customFormat="1" s="23">
      <c r="A584" s="38" t="n">
        <v>46053</v>
      </c>
      <c r="B584" s="23" t="inlineStr">
        <is>
          <t>Darwin Yaimis Ysabel</t>
        </is>
      </c>
      <c r="C584" s="23" t="inlineStr">
        <is>
          <t>Bajaj OTE 80H</t>
        </is>
      </c>
      <c r="D584" s="23" t="inlineStr">
        <is>
          <t>OTE80H</t>
        </is>
      </c>
      <c r="H584" s="23" t="n">
        <v>240000</v>
      </c>
      <c r="I584" s="23" t="n">
        <v>240000</v>
      </c>
      <c r="J584" s="23" t="inlineStr">
        <is>
          <t>efectivo</t>
        </is>
      </c>
    </row>
    <row r="585" hidden="1" customFormat="1" s="23">
      <c r="A585" s="38" t="n">
        <v>46060</v>
      </c>
      <c r="B585" s="23" t="inlineStr">
        <is>
          <t>Darwin Yaimis Ysabel</t>
        </is>
      </c>
      <c r="C585" s="23" t="inlineStr">
        <is>
          <t>Bajaj OTE 80H</t>
        </is>
      </c>
      <c r="D585" s="23" t="inlineStr">
        <is>
          <t>OTE80H</t>
        </is>
      </c>
      <c r="H585" s="23" t="n">
        <v>240000</v>
      </c>
      <c r="I585" s="23" t="n">
        <v>240000</v>
      </c>
      <c r="J585" s="23" t="inlineStr">
        <is>
          <t>efectivo</t>
        </is>
      </c>
    </row>
    <row r="586" hidden="1" customFormat="1" s="23">
      <c r="A586" s="38" t="n">
        <v>46067</v>
      </c>
      <c r="B586" s="23" t="inlineStr">
        <is>
          <t>Darwin Yaimis Ysabel</t>
        </is>
      </c>
      <c r="C586" s="23" t="inlineStr">
        <is>
          <t>Bajaj OTE 80H</t>
        </is>
      </c>
      <c r="D586" s="23" t="inlineStr">
        <is>
          <t>OTE80H</t>
        </is>
      </c>
      <c r="H586" s="23" t="n">
        <v>240000</v>
      </c>
      <c r="I586" s="23" t="n">
        <v>240000</v>
      </c>
      <c r="J586" s="23" t="inlineStr">
        <is>
          <t>efectivo</t>
        </is>
      </c>
    </row>
    <row r="587" hidden="1" customFormat="1" s="23">
      <c r="A587" s="38" t="n">
        <v>46074</v>
      </c>
      <c r="B587" s="23" t="inlineStr">
        <is>
          <t>Darwin Yaimis Ysabel</t>
        </is>
      </c>
      <c r="C587" s="23" t="inlineStr">
        <is>
          <t>Bajaj OTE 80H</t>
        </is>
      </c>
      <c r="D587" s="23" t="inlineStr">
        <is>
          <t>OTE80H</t>
        </is>
      </c>
      <c r="H587" s="23" t="n">
        <v>240000</v>
      </c>
      <c r="I587" s="23" t="n">
        <v>240000</v>
      </c>
      <c r="J587" s="23" t="inlineStr">
        <is>
          <t>efectivo</t>
        </is>
      </c>
    </row>
    <row r="588" hidden="1" customFormat="1" s="23">
      <c r="A588" s="38" t="n">
        <v>46081</v>
      </c>
      <c r="B588" s="23" t="inlineStr">
        <is>
          <t>Darwin Yaimis Ysabel</t>
        </is>
      </c>
      <c r="C588" s="23" t="inlineStr">
        <is>
          <t>Bajaj OTE 80H</t>
        </is>
      </c>
      <c r="D588" s="23" t="inlineStr">
        <is>
          <t>OTE80H</t>
        </is>
      </c>
      <c r="H588" s="23" t="n">
        <v>240000</v>
      </c>
      <c r="I588" s="23" t="n">
        <v>240000</v>
      </c>
      <c r="J588" s="23" t="inlineStr">
        <is>
          <t>efectivo</t>
        </is>
      </c>
    </row>
    <row r="589" hidden="1" customFormat="1" s="23">
      <c r="A589" s="38" t="n">
        <v>46088</v>
      </c>
      <c r="B589" s="23" t="inlineStr">
        <is>
          <t>Darwin Yaimis Ysabel</t>
        </is>
      </c>
      <c r="C589" s="23" t="inlineStr">
        <is>
          <t>Bajaj OTE 80H</t>
        </is>
      </c>
      <c r="D589" s="23" t="inlineStr">
        <is>
          <t>OTE80H</t>
        </is>
      </c>
      <c r="H589" s="23" t="n">
        <v>240000</v>
      </c>
      <c r="I589" s="23" t="n">
        <v>240000</v>
      </c>
      <c r="J589" s="23" t="inlineStr">
        <is>
          <t>efectivo</t>
        </is>
      </c>
    </row>
    <row r="590" hidden="1" customFormat="1" s="23">
      <c r="A590" s="38" t="n">
        <v>46097</v>
      </c>
      <c r="B590" s="23" t="inlineStr">
        <is>
          <t>Darwin Yaimis Ysabel</t>
        </is>
      </c>
      <c r="C590" s="23" t="inlineStr">
        <is>
          <t>Bajaj OTE 80H</t>
        </is>
      </c>
      <c r="D590" s="23" t="inlineStr">
        <is>
          <t>OTE80H</t>
        </is>
      </c>
      <c r="H590" s="23" t="n">
        <v>240000</v>
      </c>
      <c r="I590" s="23" t="n">
        <v>240000</v>
      </c>
      <c r="J590" s="23" t="inlineStr">
        <is>
          <t>efectivo</t>
        </is>
      </c>
    </row>
    <row r="591" hidden="1" customFormat="1" s="23">
      <c r="A591" s="38" t="n">
        <v>46102</v>
      </c>
      <c r="B591" s="23" t="inlineStr">
        <is>
          <t>Darwin Yaimis Ysabel</t>
        </is>
      </c>
      <c r="C591" s="23" t="inlineStr">
        <is>
          <t>Bajaj OTE 80H</t>
        </is>
      </c>
      <c r="D591" s="23" t="inlineStr">
        <is>
          <t>OTE80H</t>
        </is>
      </c>
      <c r="H591" s="23" t="n">
        <v>240000</v>
      </c>
      <c r="I591" s="23" t="n">
        <v>240000</v>
      </c>
      <c r="J591" s="23" t="inlineStr">
        <is>
          <t>efectivo</t>
        </is>
      </c>
    </row>
    <row r="592" hidden="1" customFormat="1" s="23">
      <c r="A592" s="38" t="n">
        <v>46110</v>
      </c>
      <c r="B592" s="23" t="inlineStr">
        <is>
          <t>Darwin Yaimis Ysabel</t>
        </is>
      </c>
      <c r="C592" s="23" t="inlineStr">
        <is>
          <t>Bajaj OTE 80H</t>
        </is>
      </c>
      <c r="D592" s="23" t="inlineStr">
        <is>
          <t>OTE80H</t>
        </is>
      </c>
      <c r="H592" s="23" t="n">
        <v>240000</v>
      </c>
      <c r="I592" s="23" t="n">
        <v>240000</v>
      </c>
      <c r="J592" s="23" t="inlineStr">
        <is>
          <t>efectivo</t>
        </is>
      </c>
    </row>
    <row r="593" hidden="1" customFormat="1" s="23">
      <c r="A593" s="38" t="n">
        <v>46119</v>
      </c>
      <c r="B593" s="23" t="inlineStr">
        <is>
          <t>Darwin Yaimis Ysabel</t>
        </is>
      </c>
      <c r="C593" s="23" t="inlineStr">
        <is>
          <t>Bajaj OTE 80H</t>
        </is>
      </c>
      <c r="D593" s="23" t="inlineStr">
        <is>
          <t>OTE80H</t>
        </is>
      </c>
      <c r="H593" s="23" t="n">
        <v>240000</v>
      </c>
      <c r="I593" s="23" t="n">
        <v>240000</v>
      </c>
      <c r="J593" s="23" t="inlineStr">
        <is>
          <t>efectivo</t>
        </is>
      </c>
    </row>
    <row r="594" hidden="1" customFormat="1" s="23">
      <c r="A594" s="38" t="n">
        <v>46124</v>
      </c>
      <c r="B594" s="23" t="inlineStr">
        <is>
          <t>Darwin Yaimis Ysabel</t>
        </is>
      </c>
      <c r="C594" s="23" t="inlineStr">
        <is>
          <t>Bajaj OTE 80H</t>
        </is>
      </c>
      <c r="D594" s="23" t="inlineStr">
        <is>
          <t>OTE80H</t>
        </is>
      </c>
      <c r="H594" s="23" t="n">
        <v>240000</v>
      </c>
      <c r="I594" s="23" t="n">
        <v>240000</v>
      </c>
      <c r="J594" s="23" t="inlineStr">
        <is>
          <t>efectivo</t>
        </is>
      </c>
    </row>
    <row r="595" hidden="1" customFormat="1" s="23">
      <c r="A595" s="38" t="n">
        <v>46137</v>
      </c>
      <c r="B595" s="23" t="inlineStr">
        <is>
          <t>Darwin Yaimis Ysabel</t>
        </is>
      </c>
      <c r="C595" s="23" t="inlineStr">
        <is>
          <t>Bajaj OTE 80H</t>
        </is>
      </c>
      <c r="D595" s="23" t="inlineStr">
        <is>
          <t>OTE80H</t>
        </is>
      </c>
      <c r="H595" s="23" t="n">
        <v>240000</v>
      </c>
      <c r="I595" s="23" t="n">
        <v>240000</v>
      </c>
      <c r="J595" s="23" t="inlineStr">
        <is>
          <t>efectivo</t>
        </is>
      </c>
    </row>
    <row r="596" hidden="1" customFormat="1" s="23">
      <c r="A596" s="38" t="n">
        <v>46140</v>
      </c>
      <c r="B596" s="23" t="inlineStr">
        <is>
          <t>Darwin Yaimis Ysabel</t>
        </is>
      </c>
      <c r="C596" s="23" t="inlineStr">
        <is>
          <t>Bajaj OTE 80H</t>
        </is>
      </c>
      <c r="D596" s="23" t="inlineStr">
        <is>
          <t>OTE80H</t>
        </is>
      </c>
      <c r="H596" s="23" t="n">
        <v>240000</v>
      </c>
      <c r="I596" s="23" t="n">
        <v>240000</v>
      </c>
      <c r="J596" s="23" t="inlineStr">
        <is>
          <t>efectivo</t>
        </is>
      </c>
    </row>
    <row r="597" hidden="1" customFormat="1" s="23">
      <c r="A597" s="38" t="n">
        <v>46151</v>
      </c>
      <c r="B597" s="23" t="inlineStr">
        <is>
          <t>Darwin Yaimis Ysabel</t>
        </is>
      </c>
      <c r="C597" s="23" t="inlineStr">
        <is>
          <t>Bajaj OTE 80H</t>
        </is>
      </c>
      <c r="D597" s="23" t="inlineStr">
        <is>
          <t>OTE80H</t>
        </is>
      </c>
      <c r="H597" s="23" t="n">
        <v>240000</v>
      </c>
      <c r="I597" s="23" t="n">
        <v>240000</v>
      </c>
      <c r="J597" s="23" t="inlineStr">
        <is>
          <t>efectivo</t>
        </is>
      </c>
    </row>
    <row r="598" hidden="1" customFormat="1" s="23">
      <c r="A598" s="38" t="n">
        <v>46161</v>
      </c>
      <c r="B598" s="23" t="inlineStr">
        <is>
          <t>Darwin Yaimis Ysabel</t>
        </is>
      </c>
      <c r="C598" s="23" t="inlineStr">
        <is>
          <t>Bajaj OTE 80H</t>
        </is>
      </c>
      <c r="D598" s="23" t="inlineStr">
        <is>
          <t>OTE80H</t>
        </is>
      </c>
      <c r="H598" s="23" t="n">
        <v>240000</v>
      </c>
      <c r="I598" s="23" t="n">
        <v>240000</v>
      </c>
      <c r="J598" s="23" t="inlineStr">
        <is>
          <t>efectivo</t>
        </is>
      </c>
    </row>
    <row r="599" hidden="1" customFormat="1" s="23">
      <c r="A599" s="38" t="n">
        <v>46165</v>
      </c>
      <c r="B599" s="23" t="inlineStr">
        <is>
          <t>Darwin Yaimis Ysabel</t>
        </is>
      </c>
      <c r="C599" s="23" t="inlineStr">
        <is>
          <t>Bajaj OTE 80H</t>
        </is>
      </c>
      <c r="D599" s="23" t="inlineStr">
        <is>
          <t>OTE80H</t>
        </is>
      </c>
      <c r="H599" s="23" t="n">
        <v>240000</v>
      </c>
      <c r="I599" s="23" t="n">
        <v>240000</v>
      </c>
      <c r="J599" s="23" t="inlineStr">
        <is>
          <t>efectivo</t>
        </is>
      </c>
    </row>
    <row r="600" hidden="1" customFormat="1" s="23">
      <c r="A600" s="38" t="n">
        <v>46177</v>
      </c>
      <c r="B600" s="23" t="inlineStr">
        <is>
          <t>Darwin Yaimis Ysabel</t>
        </is>
      </c>
      <c r="C600" s="23" t="inlineStr">
        <is>
          <t>Bajaj OTE 80H</t>
        </is>
      </c>
      <c r="D600" s="23" t="inlineStr">
        <is>
          <t>OTE80H</t>
        </is>
      </c>
      <c r="H600" s="23" t="n">
        <v>240000</v>
      </c>
      <c r="I600" s="23" t="n">
        <v>240000</v>
      </c>
      <c r="J600" s="23" t="inlineStr">
        <is>
          <t>efectivo</t>
        </is>
      </c>
    </row>
    <row r="601" hidden="1" customFormat="1" s="23">
      <c r="A601" s="38" t="n">
        <v>46179</v>
      </c>
      <c r="B601" s="23" t="inlineStr">
        <is>
          <t>Darwin Yaimis Ysabel</t>
        </is>
      </c>
      <c r="C601" s="23" t="inlineStr">
        <is>
          <t>Bajaj OTE 80H</t>
        </is>
      </c>
      <c r="D601" s="23" t="inlineStr">
        <is>
          <t>OTE80H</t>
        </is>
      </c>
      <c r="H601" s="23" t="n">
        <v>240000</v>
      </c>
      <c r="I601" s="23" t="n">
        <v>240000</v>
      </c>
      <c r="J601" s="23" t="inlineStr">
        <is>
          <t>efectivo</t>
        </is>
      </c>
    </row>
    <row r="602" hidden="1" customFormat="1" s="23">
      <c r="A602" s="38" t="n">
        <v>46187</v>
      </c>
      <c r="B602" s="23" t="inlineStr">
        <is>
          <t>Darwin Yaimis Ysabel</t>
        </is>
      </c>
      <c r="C602" s="23" t="inlineStr">
        <is>
          <t>Bajaj OTE 80H</t>
        </is>
      </c>
      <c r="D602" s="23" t="inlineStr">
        <is>
          <t>OTE80H</t>
        </is>
      </c>
      <c r="H602" s="23" t="n">
        <v>240000</v>
      </c>
      <c r="I602" s="23" t="n">
        <v>240000</v>
      </c>
      <c r="J602" s="23" t="inlineStr">
        <is>
          <t>efectivo</t>
        </is>
      </c>
    </row>
    <row r="603" hidden="1" customFormat="1" s="23">
      <c r="A603" s="38" t="n">
        <v>46194</v>
      </c>
      <c r="B603" s="23" t="inlineStr">
        <is>
          <t>Darwin Yaimis Ysabel</t>
        </is>
      </c>
      <c r="C603" s="23" t="inlineStr">
        <is>
          <t>Bajaj OTE 80H</t>
        </is>
      </c>
      <c r="D603" s="23" t="inlineStr">
        <is>
          <t>OTE80H</t>
        </is>
      </c>
      <c r="H603" s="23" t="n">
        <v>240000</v>
      </c>
      <c r="I603" s="23" t="n">
        <v>240000</v>
      </c>
      <c r="J603" s="23" t="inlineStr">
        <is>
          <t>efectivo</t>
        </is>
      </c>
    </row>
    <row r="604" hidden="1" customFormat="1" s="23">
      <c r="A604" s="38" t="n">
        <v>46203</v>
      </c>
      <c r="B604" s="23" t="inlineStr">
        <is>
          <t>Darwin Yaimis Ysabel</t>
        </is>
      </c>
      <c r="C604" s="23" t="inlineStr">
        <is>
          <t>Bajaj OTE 80H</t>
        </is>
      </c>
      <c r="D604" s="23" t="inlineStr">
        <is>
          <t>OTE80H</t>
        </is>
      </c>
      <c r="H604" s="23" t="n">
        <v>240000</v>
      </c>
      <c r="I604" s="23" t="n">
        <v>240000</v>
      </c>
      <c r="J604" s="23" t="inlineStr">
        <is>
          <t>efectivo</t>
        </is>
      </c>
    </row>
    <row r="605" hidden="1" customFormat="1" s="23">
      <c r="A605" s="38" t="n">
        <v>45986</v>
      </c>
      <c r="B605" s="23" t="inlineStr">
        <is>
          <t>Heiner Rodriguez</t>
        </is>
      </c>
      <c r="C605" s="23" t="inlineStr">
        <is>
          <t>Bajaj OXO 04H</t>
        </is>
      </c>
      <c r="D605" s="23" t="inlineStr">
        <is>
          <t>OYO04H</t>
        </is>
      </c>
      <c r="H605" s="23" t="n">
        <v>240000</v>
      </c>
      <c r="I605" s="23" t="n">
        <v>240000</v>
      </c>
      <c r="J605" s="23" t="inlineStr">
        <is>
          <t>efectivo</t>
        </is>
      </c>
    </row>
    <row r="606" hidden="1" customFormat="1" s="23">
      <c r="A606" s="38" t="n">
        <v>45994</v>
      </c>
      <c r="B606" s="23" t="inlineStr">
        <is>
          <t>Heiner Rodriguez</t>
        </is>
      </c>
      <c r="C606" s="23" t="inlineStr">
        <is>
          <t>Bajaj OXO 04H</t>
        </is>
      </c>
      <c r="D606" s="23" t="inlineStr">
        <is>
          <t>OYO04H</t>
        </is>
      </c>
      <c r="H606" s="23" t="n">
        <v>240000</v>
      </c>
      <c r="I606" s="23" t="n">
        <v>240000</v>
      </c>
      <c r="J606" s="23" t="inlineStr">
        <is>
          <t>efectivo</t>
        </is>
      </c>
    </row>
    <row r="607" hidden="1" customFormat="1" s="23">
      <c r="A607" s="38" t="n">
        <v>46001</v>
      </c>
      <c r="B607" s="23" t="inlineStr">
        <is>
          <t>Heiner Rodriguez</t>
        </is>
      </c>
      <c r="C607" s="23" t="inlineStr">
        <is>
          <t>Bajaj OXO 04H</t>
        </is>
      </c>
      <c r="D607" s="23" t="inlineStr">
        <is>
          <t>OYO04H</t>
        </is>
      </c>
      <c r="H607" s="23" t="n">
        <v>240000</v>
      </c>
      <c r="I607" s="23" t="n">
        <v>240000</v>
      </c>
      <c r="J607" s="23" t="inlineStr">
        <is>
          <t>efectivo</t>
        </is>
      </c>
    </row>
    <row r="608" hidden="1" customFormat="1" s="23">
      <c r="A608" s="38" t="n">
        <v>46009</v>
      </c>
      <c r="B608" s="23" t="inlineStr">
        <is>
          <t>Heiner Rodriguez</t>
        </is>
      </c>
      <c r="C608" s="23" t="inlineStr">
        <is>
          <t>Bajaj OXO 04H</t>
        </is>
      </c>
      <c r="D608" s="23" t="inlineStr">
        <is>
          <t>OYO04H</t>
        </is>
      </c>
      <c r="H608" s="23" t="n">
        <v>240000</v>
      </c>
      <c r="I608" s="23" t="n">
        <v>240000</v>
      </c>
      <c r="J608" s="23" t="inlineStr">
        <is>
          <t>efectivo</t>
        </is>
      </c>
    </row>
    <row r="609" hidden="1" customFormat="1" s="23">
      <c r="A609" s="38" t="n">
        <v>46029</v>
      </c>
      <c r="B609" s="23" t="inlineStr">
        <is>
          <t>Heiner Rodriguez</t>
        </is>
      </c>
      <c r="C609" s="23" t="inlineStr">
        <is>
          <t>Bajaj OXO 04H</t>
        </is>
      </c>
      <c r="D609" s="23" t="inlineStr">
        <is>
          <t>OYO04H</t>
        </is>
      </c>
      <c r="H609" s="23" t="n">
        <v>240000</v>
      </c>
      <c r="I609" s="23" t="n">
        <v>240000</v>
      </c>
      <c r="J609" s="23" t="inlineStr">
        <is>
          <t>efectivo</t>
        </is>
      </c>
    </row>
    <row r="610" hidden="1" customFormat="1" s="23">
      <c r="A610" s="38" t="n">
        <v>46037</v>
      </c>
      <c r="B610" s="23" t="inlineStr">
        <is>
          <t>Heiner Rodriguez</t>
        </is>
      </c>
      <c r="C610" s="23" t="inlineStr">
        <is>
          <t>Bajaj OXO 04H</t>
        </is>
      </c>
      <c r="D610" s="23" t="inlineStr">
        <is>
          <t>OYO04H</t>
        </is>
      </c>
      <c r="H610" s="23" t="n">
        <v>240000</v>
      </c>
      <c r="I610" s="23" t="n">
        <v>240000</v>
      </c>
      <c r="J610" s="23" t="inlineStr">
        <is>
          <t>efectivo</t>
        </is>
      </c>
    </row>
    <row r="611" hidden="1" customFormat="1" s="23">
      <c r="A611" s="38" t="n">
        <v>46044</v>
      </c>
      <c r="B611" s="23" t="inlineStr">
        <is>
          <t>Heiner Rodriguez</t>
        </is>
      </c>
      <c r="C611" s="23" t="inlineStr">
        <is>
          <t>Bajaj OXO 04H</t>
        </is>
      </c>
      <c r="D611" s="23" t="inlineStr">
        <is>
          <t>OYO04H</t>
        </is>
      </c>
      <c r="H611" s="23" t="n">
        <v>240000</v>
      </c>
      <c r="I611" s="23" t="n">
        <v>240000</v>
      </c>
      <c r="J611" s="23" t="inlineStr">
        <is>
          <t>efectivo</t>
        </is>
      </c>
    </row>
    <row r="612" hidden="1" customFormat="1" s="23">
      <c r="A612" s="38" t="n">
        <v>46051</v>
      </c>
      <c r="B612" s="23" t="inlineStr">
        <is>
          <t>Heiner Rodriguez</t>
        </is>
      </c>
      <c r="C612" s="23" t="inlineStr">
        <is>
          <t>Bajaj OXO 04H</t>
        </is>
      </c>
      <c r="D612" s="23" t="inlineStr">
        <is>
          <t>OYO04H</t>
        </is>
      </c>
      <c r="H612" s="23" t="n">
        <v>240000</v>
      </c>
      <c r="I612" s="23" t="n">
        <v>240000</v>
      </c>
      <c r="J612" s="23" t="inlineStr">
        <is>
          <t>efectivo</t>
        </is>
      </c>
    </row>
    <row r="613" hidden="1" customFormat="1" s="23">
      <c r="A613" s="38" t="n">
        <v>46058</v>
      </c>
      <c r="B613" s="23" t="inlineStr">
        <is>
          <t>Heiner Rodriguez</t>
        </is>
      </c>
      <c r="C613" s="23" t="inlineStr">
        <is>
          <t>Bajaj OXO 04H</t>
        </is>
      </c>
      <c r="D613" s="23" t="inlineStr">
        <is>
          <t>OYO04H</t>
        </is>
      </c>
      <c r="H613" s="23" t="n">
        <v>240000</v>
      </c>
      <c r="I613" s="23" t="n">
        <v>240000</v>
      </c>
      <c r="J613" s="23" t="inlineStr">
        <is>
          <t>efectivo</t>
        </is>
      </c>
    </row>
    <row r="614" hidden="1" customFormat="1" s="23">
      <c r="A614" s="38" t="n">
        <v>46069</v>
      </c>
      <c r="B614" s="23" t="inlineStr">
        <is>
          <t>Heiner Rodriguez</t>
        </is>
      </c>
      <c r="C614" s="23" t="inlineStr">
        <is>
          <t>Bajaj OXO 04H</t>
        </is>
      </c>
      <c r="D614" s="23" t="inlineStr">
        <is>
          <t>OYO04H</t>
        </is>
      </c>
      <c r="H614" s="23" t="n">
        <v>240000</v>
      </c>
      <c r="I614" s="23" t="n">
        <v>240000</v>
      </c>
      <c r="J614" s="23" t="inlineStr">
        <is>
          <t>efectivo</t>
        </is>
      </c>
    </row>
    <row r="615" hidden="1" customFormat="1" s="23">
      <c r="A615" s="38" t="n">
        <v>46073</v>
      </c>
      <c r="B615" s="23" t="inlineStr">
        <is>
          <t>Heiner Rodriguez</t>
        </is>
      </c>
      <c r="C615" s="23" t="inlineStr">
        <is>
          <t>Bajaj OXO 04H</t>
        </is>
      </c>
      <c r="D615" s="23" t="inlineStr">
        <is>
          <t>OYO04H</t>
        </is>
      </c>
      <c r="H615" s="23" t="n">
        <v>240000</v>
      </c>
      <c r="I615" s="23" t="n">
        <v>240000</v>
      </c>
      <c r="J615" s="23" t="inlineStr">
        <is>
          <t>efectivo</t>
        </is>
      </c>
    </row>
    <row r="616" hidden="1" customFormat="1" s="23">
      <c r="A616" s="38" t="n">
        <v>46080</v>
      </c>
      <c r="B616" s="23" t="inlineStr">
        <is>
          <t>Heiner Rodriguez</t>
        </is>
      </c>
      <c r="C616" s="23" t="inlineStr">
        <is>
          <t>Bajaj OXO 04H</t>
        </is>
      </c>
      <c r="D616" s="23" t="inlineStr">
        <is>
          <t>OYO04H</t>
        </is>
      </c>
      <c r="H616" s="23" t="n">
        <v>240000</v>
      </c>
      <c r="I616" s="23" t="n">
        <v>240000</v>
      </c>
      <c r="J616" s="23" t="inlineStr">
        <is>
          <t>efectivo</t>
        </is>
      </c>
    </row>
    <row r="617" hidden="1" customFormat="1" s="23">
      <c r="A617" s="38" t="n">
        <v>46089</v>
      </c>
      <c r="B617" s="23" t="inlineStr">
        <is>
          <t>Heiner Rodriguez</t>
        </is>
      </c>
      <c r="C617" s="23" t="inlineStr">
        <is>
          <t>Bajaj OXO 04H</t>
        </is>
      </c>
      <c r="D617" s="23" t="inlineStr">
        <is>
          <t>OYO04H</t>
        </is>
      </c>
      <c r="H617" s="23" t="n">
        <v>240000</v>
      </c>
      <c r="I617" s="23" t="n">
        <v>240000</v>
      </c>
      <c r="J617" s="23" t="inlineStr">
        <is>
          <t>efectivo</t>
        </is>
      </c>
    </row>
    <row r="618" hidden="1" customFormat="1" s="23">
      <c r="A618" s="38" t="n">
        <v>46097</v>
      </c>
      <c r="B618" s="23" t="inlineStr">
        <is>
          <t>Heiner Rodriguez</t>
        </is>
      </c>
      <c r="C618" s="23" t="inlineStr">
        <is>
          <t>Bajaj OXO 04H</t>
        </is>
      </c>
      <c r="D618" s="23" t="inlineStr">
        <is>
          <t>OYO04H</t>
        </is>
      </c>
      <c r="H618" s="23" t="n">
        <v>240000</v>
      </c>
      <c r="I618" s="23" t="n">
        <v>240000</v>
      </c>
      <c r="J618" s="23" t="inlineStr">
        <is>
          <t>efectivo</t>
        </is>
      </c>
    </row>
    <row r="619" hidden="1" customFormat="1" s="23">
      <c r="A619" s="38" t="n">
        <v>46106</v>
      </c>
      <c r="B619" s="23" t="inlineStr">
        <is>
          <t>Heiner Rodriguez</t>
        </is>
      </c>
      <c r="C619" s="23" t="inlineStr">
        <is>
          <t>Bajaj OXO 04H</t>
        </is>
      </c>
      <c r="D619" s="23" t="inlineStr">
        <is>
          <t>OYO04H</t>
        </is>
      </c>
      <c r="H619" s="23" t="n">
        <v>240000</v>
      </c>
      <c r="I619" s="23" t="n">
        <v>240000</v>
      </c>
      <c r="J619" s="23" t="inlineStr">
        <is>
          <t>efectivo</t>
        </is>
      </c>
    </row>
    <row r="620" hidden="1" customFormat="1" s="23">
      <c r="A620" s="38" t="n">
        <v>46114</v>
      </c>
      <c r="B620" s="23" t="inlineStr">
        <is>
          <t>Heiner Rodriguez</t>
        </is>
      </c>
      <c r="C620" s="23" t="inlineStr">
        <is>
          <t>Bajaj OXO 04H</t>
        </is>
      </c>
      <c r="D620" s="23" t="inlineStr">
        <is>
          <t>OYO04H</t>
        </is>
      </c>
      <c r="H620" s="23" t="n">
        <v>240000</v>
      </c>
      <c r="I620" s="23" t="n">
        <v>240000</v>
      </c>
      <c r="J620" s="23" t="inlineStr">
        <is>
          <t>efectivo</t>
        </is>
      </c>
    </row>
    <row r="621" hidden="1" customFormat="1" s="23">
      <c r="A621" s="38" t="n">
        <v>46123</v>
      </c>
      <c r="B621" s="23" t="inlineStr">
        <is>
          <t>Heiner Rodriguez</t>
        </is>
      </c>
      <c r="C621" s="23" t="inlineStr">
        <is>
          <t>Bajaj OXO 04H</t>
        </is>
      </c>
      <c r="D621" s="23" t="inlineStr">
        <is>
          <t>OYO04H</t>
        </is>
      </c>
      <c r="H621" s="23" t="n">
        <v>240000</v>
      </c>
      <c r="I621" s="23" t="n">
        <v>240000</v>
      </c>
      <c r="J621" s="23" t="inlineStr">
        <is>
          <t>efectivo</t>
        </is>
      </c>
    </row>
    <row r="622" hidden="1" customFormat="1" s="23">
      <c r="A622" s="38" t="n">
        <v>46131</v>
      </c>
      <c r="B622" s="23" t="inlineStr">
        <is>
          <t>Heiner Rodriguez</t>
        </is>
      </c>
      <c r="C622" s="23" t="inlineStr">
        <is>
          <t>Bajaj OXO 04H</t>
        </is>
      </c>
      <c r="D622" s="23" t="inlineStr">
        <is>
          <t>OYO04H</t>
        </is>
      </c>
      <c r="H622" s="23" t="n">
        <v>240000</v>
      </c>
      <c r="I622" s="23" t="n">
        <v>240000</v>
      </c>
      <c r="J622" s="23" t="inlineStr">
        <is>
          <t>efectivo</t>
        </is>
      </c>
    </row>
    <row r="623" hidden="1" customFormat="1" s="23">
      <c r="A623" s="38" t="n">
        <v>46140</v>
      </c>
      <c r="B623" s="23" t="inlineStr">
        <is>
          <t>Heiner Rodriguez</t>
        </is>
      </c>
      <c r="C623" s="23" t="inlineStr">
        <is>
          <t>Bajaj OXO 04H</t>
        </is>
      </c>
      <c r="D623" s="23" t="inlineStr">
        <is>
          <t>OYO04H</t>
        </is>
      </c>
      <c r="H623" s="23" t="n">
        <v>240000</v>
      </c>
      <c r="I623" s="23" t="n">
        <v>240000</v>
      </c>
      <c r="J623" s="23" t="inlineStr">
        <is>
          <t>efectivo</t>
        </is>
      </c>
    </row>
    <row r="624" hidden="1" customFormat="1" s="23">
      <c r="A624" s="38" t="n">
        <v>46149</v>
      </c>
      <c r="B624" s="23" t="inlineStr">
        <is>
          <t>Heiner Rodriguez</t>
        </is>
      </c>
      <c r="C624" s="23" t="inlineStr">
        <is>
          <t>Bajaj OXO 04H</t>
        </is>
      </c>
      <c r="D624" s="23" t="inlineStr">
        <is>
          <t>OYO04H</t>
        </is>
      </c>
      <c r="H624" s="23" t="n">
        <v>240000</v>
      </c>
      <c r="I624" s="23" t="n">
        <v>240000</v>
      </c>
      <c r="J624" s="23" t="inlineStr">
        <is>
          <t>efectivo</t>
        </is>
      </c>
    </row>
    <row r="625" hidden="1" customFormat="1" s="23">
      <c r="A625" s="38" t="n">
        <v>46157</v>
      </c>
      <c r="B625" s="23" t="inlineStr">
        <is>
          <t>Heiner Rodriguez</t>
        </is>
      </c>
      <c r="C625" s="23" t="inlineStr">
        <is>
          <t>Bajaj OXO 04H</t>
        </is>
      </c>
      <c r="D625" s="23" t="inlineStr">
        <is>
          <t>OYO04H</t>
        </is>
      </c>
      <c r="H625" s="23" t="n">
        <v>240000</v>
      </c>
      <c r="I625" s="23" t="n">
        <v>240000</v>
      </c>
      <c r="J625" s="23" t="inlineStr">
        <is>
          <t>efectivo</t>
        </is>
      </c>
    </row>
    <row r="626" hidden="1" customFormat="1" s="23">
      <c r="A626" s="38" t="n">
        <v>46168</v>
      </c>
      <c r="B626" s="23" t="inlineStr">
        <is>
          <t>Heiner Rodriguez</t>
        </is>
      </c>
      <c r="C626" s="23" t="inlineStr">
        <is>
          <t>Bajaj OXO 04H</t>
        </is>
      </c>
      <c r="D626" s="23" t="inlineStr">
        <is>
          <t>OYO04H</t>
        </is>
      </c>
      <c r="H626" s="23" t="n">
        <v>240000</v>
      </c>
      <c r="I626" s="23" t="n">
        <v>240000</v>
      </c>
      <c r="J626" s="23" t="inlineStr">
        <is>
          <t>efectivo</t>
        </is>
      </c>
    </row>
    <row r="627" hidden="1" customFormat="1" s="23">
      <c r="A627" s="38" t="n">
        <v>46183</v>
      </c>
      <c r="B627" s="23" t="inlineStr">
        <is>
          <t>Heiner Rodriguez</t>
        </is>
      </c>
      <c r="C627" s="23" t="inlineStr">
        <is>
          <t>Bajaj OXO 04H</t>
        </is>
      </c>
      <c r="D627" s="23" t="inlineStr">
        <is>
          <t>OYO04H</t>
        </is>
      </c>
      <c r="H627" s="23" t="n">
        <v>240000</v>
      </c>
      <c r="I627" s="23" t="n">
        <v>240000</v>
      </c>
      <c r="J627" s="23" t="inlineStr">
        <is>
          <t>efectivo</t>
        </is>
      </c>
    </row>
    <row r="628" hidden="1" customFormat="1" s="23">
      <c r="A628" s="38" t="n">
        <v>46194</v>
      </c>
      <c r="B628" s="23" t="inlineStr">
        <is>
          <t>Heiner Rodriguez</t>
        </is>
      </c>
      <c r="C628" s="23" t="inlineStr">
        <is>
          <t>Bajaj OXO 04H</t>
        </is>
      </c>
      <c r="D628" s="23" t="inlineStr">
        <is>
          <t>OYO04H</t>
        </is>
      </c>
      <c r="H628" s="23" t="n">
        <v>240000</v>
      </c>
      <c r="I628" s="23" t="n">
        <v>240000</v>
      </c>
      <c r="J628" s="23" t="inlineStr">
        <is>
          <t>efectivo</t>
        </is>
      </c>
    </row>
    <row r="629" hidden="1" customFormat="1" s="23">
      <c r="A629" s="38" t="n">
        <v>46203</v>
      </c>
      <c r="B629" s="23" t="inlineStr">
        <is>
          <t>Heiner Rodriguez</t>
        </is>
      </c>
      <c r="C629" s="23" t="inlineStr">
        <is>
          <t>Bajaj OXO 04H</t>
        </is>
      </c>
      <c r="D629" s="23" t="inlineStr">
        <is>
          <t>OYO04H</t>
        </is>
      </c>
      <c r="H629" s="23" t="n">
        <v>240000</v>
      </c>
      <c r="I629" s="23" t="n">
        <v>240000</v>
      </c>
      <c r="J629" s="23" t="inlineStr">
        <is>
          <t>efectivo</t>
        </is>
      </c>
    </row>
    <row r="630" hidden="1" customFormat="1" s="23">
      <c r="A630" s="38" t="n">
        <v>46211</v>
      </c>
      <c r="B630" s="23" t="inlineStr">
        <is>
          <t>Heiner Rodriguez</t>
        </is>
      </c>
      <c r="C630" s="23" t="inlineStr">
        <is>
          <t>Bajaj OXO 04H</t>
        </is>
      </c>
      <c r="D630" s="23" t="inlineStr">
        <is>
          <t>OYO04H</t>
        </is>
      </c>
      <c r="H630" s="23" t="n">
        <v>240000</v>
      </c>
      <c r="I630" s="23" t="n">
        <v>240000</v>
      </c>
      <c r="J630" s="23" t="inlineStr">
        <is>
          <t>efectivo</t>
        </is>
      </c>
    </row>
    <row r="631" hidden="1" customFormat="1" s="23">
      <c r="A631" s="38" t="n">
        <v>45804</v>
      </c>
      <c r="B631" s="23" t="inlineStr">
        <is>
          <t>Negro Luis Ney</t>
        </is>
      </c>
      <c r="C631" s="23" t="inlineStr">
        <is>
          <t>Bajaj OTE 68H</t>
        </is>
      </c>
      <c r="D631" s="23" t="inlineStr">
        <is>
          <t>OTE68H</t>
        </is>
      </c>
      <c r="H631" s="23" t="n">
        <v>240000</v>
      </c>
      <c r="I631" s="23" t="n">
        <v>240000</v>
      </c>
      <c r="J631" s="23" t="inlineStr">
        <is>
          <t>efectivo</t>
        </is>
      </c>
    </row>
    <row r="632" hidden="1" customFormat="1" s="23">
      <c r="A632" s="38" t="n">
        <v>45811</v>
      </c>
      <c r="B632" s="23" t="inlineStr">
        <is>
          <t>Negro Luis Ney</t>
        </is>
      </c>
      <c r="C632" s="23" t="inlineStr">
        <is>
          <t>Bajaj OTE 68H</t>
        </is>
      </c>
      <c r="D632" s="23" t="inlineStr">
        <is>
          <t>OTE68H</t>
        </is>
      </c>
      <c r="H632" s="23" t="n">
        <v>240000</v>
      </c>
      <c r="I632" s="23" t="n">
        <v>240000</v>
      </c>
      <c r="J632" s="23" t="inlineStr">
        <is>
          <t>efectivo</t>
        </is>
      </c>
    </row>
    <row r="633" hidden="1" customFormat="1" s="23">
      <c r="A633" s="38" t="n">
        <v>45818</v>
      </c>
      <c r="B633" s="23" t="inlineStr">
        <is>
          <t>Negro Luis Ney</t>
        </is>
      </c>
      <c r="C633" s="23" t="inlineStr">
        <is>
          <t>Bajaj OTE 68H</t>
        </is>
      </c>
      <c r="D633" s="23" t="inlineStr">
        <is>
          <t>OTE68H</t>
        </is>
      </c>
      <c r="H633" s="23" t="n">
        <v>240000</v>
      </c>
      <c r="I633" s="23" t="n">
        <v>240000</v>
      </c>
      <c r="J633" s="23" t="inlineStr">
        <is>
          <t>efectivo</t>
        </is>
      </c>
    </row>
    <row r="634" hidden="1" customFormat="1" s="23">
      <c r="A634" s="38" t="n">
        <v>45825</v>
      </c>
      <c r="B634" s="23" t="inlineStr">
        <is>
          <t>Negro Luis Ney</t>
        </is>
      </c>
      <c r="C634" s="23" t="inlineStr">
        <is>
          <t>Bajaj OTE 68H</t>
        </is>
      </c>
      <c r="D634" s="23" t="inlineStr">
        <is>
          <t>OTE68H</t>
        </is>
      </c>
      <c r="H634" s="23" t="n">
        <v>240000</v>
      </c>
      <c r="I634" s="23" t="n">
        <v>240000</v>
      </c>
      <c r="J634" s="23" t="inlineStr">
        <is>
          <t>efectivo</t>
        </is>
      </c>
    </row>
    <row r="635" hidden="1" customFormat="1" s="23">
      <c r="A635" s="38" t="n">
        <v>45831</v>
      </c>
      <c r="B635" s="23" t="inlineStr">
        <is>
          <t>Negro Luis Ney</t>
        </is>
      </c>
      <c r="C635" s="23" t="inlineStr">
        <is>
          <t>Bajaj OTE 68H</t>
        </is>
      </c>
      <c r="D635" s="23" t="inlineStr">
        <is>
          <t>OTE68H</t>
        </is>
      </c>
      <c r="H635" s="23" t="n">
        <v>240000</v>
      </c>
      <c r="I635" s="23" t="n">
        <v>240000</v>
      </c>
      <c r="J635" s="23" t="inlineStr">
        <is>
          <t>efectivo</t>
        </is>
      </c>
    </row>
    <row r="636" hidden="1" customFormat="1" s="23">
      <c r="A636" s="38" t="n">
        <v>45839</v>
      </c>
      <c r="B636" s="23" t="inlineStr">
        <is>
          <t>Negro Luis Ney</t>
        </is>
      </c>
      <c r="C636" s="23" t="inlineStr">
        <is>
          <t>Bajaj OTE 68H</t>
        </is>
      </c>
      <c r="D636" s="23" t="inlineStr">
        <is>
          <t>OTE68H</t>
        </is>
      </c>
      <c r="H636" s="23" t="n">
        <v>240000</v>
      </c>
      <c r="I636" s="23" t="n">
        <v>240000</v>
      </c>
      <c r="J636" s="23" t="inlineStr">
        <is>
          <t>efectivo</t>
        </is>
      </c>
    </row>
    <row r="637" hidden="1" customFormat="1" s="23">
      <c r="A637" s="38" t="n">
        <v>45846</v>
      </c>
      <c r="B637" s="23" t="inlineStr">
        <is>
          <t>Negro Luis Ney</t>
        </is>
      </c>
      <c r="C637" s="23" t="inlineStr">
        <is>
          <t>Bajaj OTE 68H</t>
        </is>
      </c>
      <c r="D637" s="23" t="inlineStr">
        <is>
          <t>OTE68H</t>
        </is>
      </c>
      <c r="H637" s="23" t="n">
        <v>240000</v>
      </c>
      <c r="I637" s="23" t="n">
        <v>240000</v>
      </c>
      <c r="J637" s="23" t="inlineStr">
        <is>
          <t>efectivo</t>
        </is>
      </c>
    </row>
    <row r="638" hidden="1" customFormat="1" s="23">
      <c r="A638" s="38" t="n">
        <v>45853</v>
      </c>
      <c r="B638" s="23" t="inlineStr">
        <is>
          <t>Negro Luis Ney</t>
        </is>
      </c>
      <c r="C638" s="23" t="inlineStr">
        <is>
          <t>Bajaj OTE 68H</t>
        </is>
      </c>
      <c r="D638" s="23" t="inlineStr">
        <is>
          <t>OTE68H</t>
        </is>
      </c>
      <c r="H638" s="23" t="n">
        <v>240000</v>
      </c>
      <c r="I638" s="23" t="n">
        <v>240000</v>
      </c>
      <c r="J638" s="23" t="inlineStr">
        <is>
          <t>efectivo</t>
        </is>
      </c>
    </row>
    <row r="639" hidden="1" customFormat="1" s="23">
      <c r="A639" s="38" t="n">
        <v>45861</v>
      </c>
      <c r="B639" s="23" t="inlineStr">
        <is>
          <t>Negro Luis Ney</t>
        </is>
      </c>
      <c r="C639" s="23" t="inlineStr">
        <is>
          <t>Bajaj OTE 68H</t>
        </is>
      </c>
      <c r="D639" s="23" t="inlineStr">
        <is>
          <t>OTE68H</t>
        </is>
      </c>
      <c r="H639" s="23" t="n">
        <v>240000</v>
      </c>
      <c r="I639" s="23" t="n">
        <v>240000</v>
      </c>
      <c r="J639" s="23" t="inlineStr">
        <is>
          <t>efectivo</t>
        </is>
      </c>
    </row>
    <row r="640" hidden="1" customFormat="1" s="23">
      <c r="A640" s="38" t="n">
        <v>45869</v>
      </c>
      <c r="B640" s="23" t="inlineStr">
        <is>
          <t>Negro Luis Ney</t>
        </is>
      </c>
      <c r="C640" s="23" t="inlineStr">
        <is>
          <t>Bajaj OTE 68H</t>
        </is>
      </c>
      <c r="D640" s="23" t="inlineStr">
        <is>
          <t>OTE68H</t>
        </is>
      </c>
      <c r="H640" s="23" t="n">
        <v>240000</v>
      </c>
      <c r="I640" s="23" t="n">
        <v>240000</v>
      </c>
      <c r="J640" s="23" t="inlineStr">
        <is>
          <t>efectivo</t>
        </is>
      </c>
    </row>
    <row r="641" hidden="1" customFormat="1" s="23">
      <c r="A641" s="38" t="n">
        <v>45880</v>
      </c>
      <c r="B641" s="23" t="inlineStr">
        <is>
          <t>Negro Luis Ney</t>
        </is>
      </c>
      <c r="C641" s="23" t="inlineStr">
        <is>
          <t>Bajaj OTE 68H</t>
        </is>
      </c>
      <c r="D641" s="23" t="inlineStr">
        <is>
          <t>OTE68H</t>
        </is>
      </c>
      <c r="H641" s="23" t="n">
        <v>240000</v>
      </c>
      <c r="I641" s="23" t="n">
        <v>240000</v>
      </c>
      <c r="J641" s="23" t="inlineStr">
        <is>
          <t>efectivo</t>
        </is>
      </c>
    </row>
    <row r="642" hidden="1" customFormat="1" s="23">
      <c r="A642" s="38" t="n">
        <v>45888</v>
      </c>
      <c r="B642" s="23" t="inlineStr">
        <is>
          <t>Negro Luis Ney</t>
        </is>
      </c>
      <c r="C642" s="23" t="inlineStr">
        <is>
          <t>Bajaj OTE 68H</t>
        </is>
      </c>
      <c r="D642" s="23" t="inlineStr">
        <is>
          <t>OTE68H</t>
        </is>
      </c>
      <c r="H642" s="23" t="n">
        <v>240000</v>
      </c>
      <c r="I642" s="23" t="n">
        <v>240000</v>
      </c>
      <c r="J642" s="23" t="inlineStr">
        <is>
          <t>efectivo</t>
        </is>
      </c>
    </row>
    <row r="643" hidden="1" customFormat="1" s="23">
      <c r="A643" s="38" t="n">
        <v>45898</v>
      </c>
      <c r="B643" s="23" t="inlineStr">
        <is>
          <t>Negro Luis Ney</t>
        </is>
      </c>
      <c r="C643" s="23" t="inlineStr">
        <is>
          <t>Bajaj OTE 68H</t>
        </is>
      </c>
      <c r="D643" s="23" t="inlineStr">
        <is>
          <t>OTE68H</t>
        </is>
      </c>
      <c r="H643" s="23" t="n">
        <v>240000</v>
      </c>
      <c r="I643" s="23" t="n">
        <v>240000</v>
      </c>
      <c r="J643" s="23" t="inlineStr">
        <is>
          <t>efectivo</t>
        </is>
      </c>
    </row>
    <row r="644" hidden="1" customFormat="1" s="23">
      <c r="A644" s="38" t="n">
        <v>45905</v>
      </c>
      <c r="B644" s="23" t="inlineStr">
        <is>
          <t>Negro Luis Ney</t>
        </is>
      </c>
      <c r="C644" s="23" t="inlineStr">
        <is>
          <t>Bajaj OTE 68H</t>
        </is>
      </c>
      <c r="D644" s="23" t="inlineStr">
        <is>
          <t>OTE68H</t>
        </is>
      </c>
      <c r="H644" s="23" t="n">
        <v>240000</v>
      </c>
      <c r="I644" s="23" t="n">
        <v>240000</v>
      </c>
      <c r="J644" s="23" t="inlineStr">
        <is>
          <t>efectivo</t>
        </is>
      </c>
    </row>
    <row r="645" hidden="1" customFormat="1" s="23">
      <c r="A645" s="38" t="n">
        <v>45915</v>
      </c>
      <c r="B645" s="23" t="inlineStr">
        <is>
          <t>Negro Luis Ney</t>
        </is>
      </c>
      <c r="C645" s="23" t="inlineStr">
        <is>
          <t>Bajaj OTE 68H</t>
        </is>
      </c>
      <c r="D645" s="23" t="inlineStr">
        <is>
          <t>OTE68H</t>
        </is>
      </c>
      <c r="H645" s="23" t="n">
        <v>240000</v>
      </c>
      <c r="I645" s="23" t="n">
        <v>240000</v>
      </c>
      <c r="J645" s="23" t="inlineStr">
        <is>
          <t>efectivo</t>
        </is>
      </c>
    </row>
    <row r="646" hidden="1" customFormat="1" s="23">
      <c r="A646" s="38" t="n">
        <v>45922</v>
      </c>
      <c r="B646" s="23" t="inlineStr">
        <is>
          <t>Negro Luis Ney</t>
        </is>
      </c>
      <c r="C646" s="23" t="inlineStr">
        <is>
          <t>Bajaj OTE 68H</t>
        </is>
      </c>
      <c r="D646" s="23" t="inlineStr">
        <is>
          <t>OTE68H</t>
        </is>
      </c>
      <c r="H646" s="23" t="n">
        <v>240000</v>
      </c>
      <c r="I646" s="23" t="n">
        <v>240000</v>
      </c>
      <c r="J646" s="23" t="inlineStr">
        <is>
          <t>efectivo</t>
        </is>
      </c>
    </row>
    <row r="647" hidden="1" customFormat="1" s="23">
      <c r="A647" s="38" t="n">
        <v>45932</v>
      </c>
      <c r="B647" s="23" t="inlineStr">
        <is>
          <t>Negro Luis Ney</t>
        </is>
      </c>
      <c r="C647" s="23" t="inlineStr">
        <is>
          <t>Bajaj OTE 68H</t>
        </is>
      </c>
      <c r="D647" s="23" t="inlineStr">
        <is>
          <t>OTE68H</t>
        </is>
      </c>
      <c r="H647" s="23" t="n">
        <v>240000</v>
      </c>
      <c r="I647" s="23" t="n">
        <v>240000</v>
      </c>
      <c r="J647" s="23" t="inlineStr">
        <is>
          <t>efectivo</t>
        </is>
      </c>
    </row>
    <row r="648" hidden="1" customFormat="1" s="23">
      <c r="A648" s="38" t="n">
        <v>45951</v>
      </c>
      <c r="B648" s="23" t="inlineStr">
        <is>
          <t>Negro Luis Ney</t>
        </is>
      </c>
      <c r="C648" s="23" t="inlineStr">
        <is>
          <t>Bajaj OTE 68H</t>
        </is>
      </c>
      <c r="D648" s="23" t="inlineStr">
        <is>
          <t>OTE68H</t>
        </is>
      </c>
      <c r="H648" s="23" t="n">
        <v>240000</v>
      </c>
      <c r="I648" s="23" t="n">
        <v>240000</v>
      </c>
      <c r="J648" s="23" t="inlineStr">
        <is>
          <t>efectivo</t>
        </is>
      </c>
    </row>
    <row r="649" hidden="1" customFormat="1" s="23">
      <c r="A649" s="38" t="n">
        <v>45967</v>
      </c>
      <c r="B649" s="23" t="inlineStr">
        <is>
          <t>Negro Luis Ney</t>
        </is>
      </c>
      <c r="C649" s="23" t="inlineStr">
        <is>
          <t>Bajaj OTE 68H</t>
        </is>
      </c>
      <c r="D649" s="23" t="inlineStr">
        <is>
          <t>OTE68H</t>
        </is>
      </c>
      <c r="H649" s="23" t="n">
        <v>240000</v>
      </c>
      <c r="I649" s="23" t="n">
        <v>240000</v>
      </c>
      <c r="J649" s="23" t="inlineStr">
        <is>
          <t>efectivo</t>
        </is>
      </c>
    </row>
    <row r="650" hidden="1" customFormat="1" s="23">
      <c r="A650" s="38" t="n">
        <v>45991</v>
      </c>
      <c r="B650" s="23" t="inlineStr">
        <is>
          <t>Negro Luis Ney</t>
        </is>
      </c>
      <c r="C650" s="23" t="inlineStr">
        <is>
          <t>Bajaj OTE 68H</t>
        </is>
      </c>
      <c r="D650" s="23" t="inlineStr">
        <is>
          <t>OTE68H</t>
        </is>
      </c>
      <c r="H650" s="23" t="n">
        <v>240000</v>
      </c>
      <c r="I650" s="23" t="n">
        <v>240000</v>
      </c>
      <c r="J650" s="23" t="inlineStr">
        <is>
          <t>efectivo</t>
        </is>
      </c>
    </row>
    <row r="651" hidden="1" customFormat="1" s="23">
      <c r="A651" s="38" t="n">
        <v>45975</v>
      </c>
      <c r="B651" s="23" t="inlineStr">
        <is>
          <t>Negro Luis Ney</t>
        </is>
      </c>
      <c r="C651" s="23" t="inlineStr">
        <is>
          <t>Bajaj OTE 68H</t>
        </is>
      </c>
      <c r="D651" s="23" t="inlineStr">
        <is>
          <t>OTE68H</t>
        </is>
      </c>
      <c r="H651" s="23" t="n">
        <v>240000</v>
      </c>
      <c r="I651" s="23" t="n">
        <v>240000</v>
      </c>
      <c r="J651" s="23" t="inlineStr">
        <is>
          <t>efectivo</t>
        </is>
      </c>
    </row>
    <row r="652" hidden="1" customFormat="1" s="23">
      <c r="A652" s="38" t="n">
        <v>45996</v>
      </c>
      <c r="B652" s="23" t="inlineStr">
        <is>
          <t>Negro Luis Ney</t>
        </is>
      </c>
      <c r="C652" s="23" t="inlineStr">
        <is>
          <t>Bajaj OTE 68H</t>
        </is>
      </c>
      <c r="D652" s="23" t="inlineStr">
        <is>
          <t>OTE68H</t>
        </is>
      </c>
      <c r="H652" s="23" t="n">
        <v>240000</v>
      </c>
      <c r="I652" s="23" t="n">
        <v>240000</v>
      </c>
      <c r="J652" s="23" t="inlineStr">
        <is>
          <t>efectivo</t>
        </is>
      </c>
    </row>
    <row r="653" hidden="1" customFormat="1" s="23">
      <c r="A653" s="38" t="n">
        <v>46011</v>
      </c>
      <c r="B653" s="23" t="inlineStr">
        <is>
          <t>Negro Luis Ney</t>
        </is>
      </c>
      <c r="C653" s="23" t="inlineStr">
        <is>
          <t>Bajaj OTE 68H</t>
        </is>
      </c>
      <c r="D653" s="23" t="inlineStr">
        <is>
          <t>OTE68H</t>
        </is>
      </c>
      <c r="H653" s="23" t="n">
        <v>240000</v>
      </c>
      <c r="I653" s="23" t="n">
        <v>240000</v>
      </c>
      <c r="J653" s="23" t="inlineStr">
        <is>
          <t>efectivo</t>
        </is>
      </c>
    </row>
    <row r="654" hidden="1" customFormat="1" s="23">
      <c r="A654" s="38" t="n">
        <v>46028</v>
      </c>
      <c r="B654" s="23" t="inlineStr">
        <is>
          <t>Negro Luis Ney</t>
        </is>
      </c>
      <c r="C654" s="23" t="inlineStr">
        <is>
          <t>Bajaj OTE 68H</t>
        </is>
      </c>
      <c r="D654" s="23" t="inlineStr">
        <is>
          <t>OTE68H</t>
        </is>
      </c>
      <c r="H654" s="23" t="n">
        <v>240000</v>
      </c>
      <c r="I654" s="23" t="n">
        <v>240000</v>
      </c>
      <c r="J654" s="23" t="inlineStr">
        <is>
          <t>efectivo</t>
        </is>
      </c>
    </row>
    <row r="655" hidden="1" customFormat="1" s="23">
      <c r="A655" s="38" t="n">
        <v>46043</v>
      </c>
      <c r="B655" s="23" t="inlineStr">
        <is>
          <t>Negro Luis Ney</t>
        </is>
      </c>
      <c r="C655" s="23" t="inlineStr">
        <is>
          <t>Bajaj OTE 68H</t>
        </is>
      </c>
      <c r="D655" s="23" t="inlineStr">
        <is>
          <t>OTE68H</t>
        </is>
      </c>
      <c r="H655" s="23" t="n">
        <v>240000</v>
      </c>
      <c r="I655" s="23" t="n">
        <v>240000</v>
      </c>
      <c r="J655" s="23" t="inlineStr">
        <is>
          <t>efectivo</t>
        </is>
      </c>
    </row>
    <row r="656" hidden="1" customFormat="1" s="23">
      <c r="A656" s="38" t="n">
        <v>46059</v>
      </c>
      <c r="B656" s="23" t="inlineStr">
        <is>
          <t>Negro Luis Ney</t>
        </is>
      </c>
      <c r="C656" s="23" t="inlineStr">
        <is>
          <t>Bajaj OTE 68H</t>
        </is>
      </c>
      <c r="D656" s="23" t="inlineStr">
        <is>
          <t>OTE68H</t>
        </is>
      </c>
      <c r="H656" s="23" t="n">
        <v>240000</v>
      </c>
      <c r="I656" s="23" t="n">
        <v>240000</v>
      </c>
      <c r="J656" s="23" t="inlineStr">
        <is>
          <t>efectivo</t>
        </is>
      </c>
    </row>
    <row r="657" hidden="1" customFormat="1" s="23">
      <c r="A657" s="38" t="n">
        <v>46078</v>
      </c>
      <c r="B657" s="23" t="inlineStr">
        <is>
          <t>Negro Luis Ney</t>
        </is>
      </c>
      <c r="C657" s="23" t="inlineStr">
        <is>
          <t>Bajaj OTE 68H</t>
        </is>
      </c>
      <c r="D657" s="23" t="inlineStr">
        <is>
          <t>OTE68H</t>
        </is>
      </c>
      <c r="H657" s="23" t="n">
        <v>240000</v>
      </c>
      <c r="I657" s="23" t="n">
        <v>240000</v>
      </c>
      <c r="J657" s="23" t="inlineStr">
        <is>
          <t>efectivo</t>
        </is>
      </c>
    </row>
    <row r="658" hidden="1" customFormat="1" s="23">
      <c r="A658" s="38" t="n">
        <v>46087</v>
      </c>
      <c r="B658" s="23" t="inlineStr">
        <is>
          <t>Negro Luis Ney</t>
        </is>
      </c>
      <c r="C658" s="23" t="inlineStr">
        <is>
          <t>Bajaj OTE 68H</t>
        </is>
      </c>
      <c r="D658" s="23" t="inlineStr">
        <is>
          <t>OTE68H</t>
        </is>
      </c>
      <c r="H658" s="23" t="n">
        <v>240000</v>
      </c>
      <c r="I658" s="23" t="n">
        <v>240000</v>
      </c>
      <c r="J658" s="23" t="inlineStr">
        <is>
          <t>efectivo</t>
        </is>
      </c>
    </row>
    <row r="659" hidden="1" customFormat="1" s="23">
      <c r="A659" s="38" t="n">
        <v>46101</v>
      </c>
      <c r="B659" s="23" t="inlineStr">
        <is>
          <t>Negro Luis Ney</t>
        </is>
      </c>
      <c r="C659" s="23" t="inlineStr">
        <is>
          <t>Bajaj OTE 68H</t>
        </is>
      </c>
      <c r="D659" s="23" t="inlineStr">
        <is>
          <t>OTE68H</t>
        </is>
      </c>
      <c r="H659" s="23" t="n">
        <v>240000</v>
      </c>
      <c r="I659" s="23" t="n">
        <v>240000</v>
      </c>
      <c r="J659" s="23" t="inlineStr">
        <is>
          <t>efectivo</t>
        </is>
      </c>
    </row>
    <row r="660" hidden="1" customFormat="1" s="23">
      <c r="A660" s="38" t="n">
        <v>46117</v>
      </c>
      <c r="B660" s="23" t="inlineStr">
        <is>
          <t>Negro Luis Ney</t>
        </is>
      </c>
      <c r="C660" s="23" t="inlineStr">
        <is>
          <t>Bajaj OTE 68H</t>
        </is>
      </c>
      <c r="D660" s="23" t="inlineStr">
        <is>
          <t>OTE68H</t>
        </is>
      </c>
      <c r="H660" s="23" t="n">
        <v>240000</v>
      </c>
      <c r="I660" s="23" t="n">
        <v>240000</v>
      </c>
      <c r="J660" s="23" t="inlineStr">
        <is>
          <t>efectivo</t>
        </is>
      </c>
    </row>
    <row r="661" hidden="1" customFormat="1" s="23">
      <c r="A661" s="38" t="n">
        <v>46133</v>
      </c>
      <c r="B661" s="23" t="inlineStr">
        <is>
          <t>Negro Luis Ney</t>
        </is>
      </c>
      <c r="C661" s="23" t="inlineStr">
        <is>
          <t>Bajaj OTE 68H</t>
        </is>
      </c>
      <c r="D661" s="23" t="inlineStr">
        <is>
          <t>OTE68H</t>
        </is>
      </c>
      <c r="H661" s="23" t="n">
        <v>240000</v>
      </c>
      <c r="I661" s="23" t="n">
        <v>240000</v>
      </c>
      <c r="J661" s="23" t="inlineStr">
        <is>
          <t>efectivo</t>
        </is>
      </c>
    </row>
    <row r="662" hidden="1" customFormat="1" s="23">
      <c r="A662" s="38" t="n">
        <v>46148</v>
      </c>
      <c r="B662" s="23" t="inlineStr">
        <is>
          <t>Negro Luis Ney</t>
        </is>
      </c>
      <c r="C662" s="23" t="inlineStr">
        <is>
          <t>Bajaj OTE 68H</t>
        </is>
      </c>
      <c r="D662" s="23" t="inlineStr">
        <is>
          <t>OTE68H</t>
        </is>
      </c>
      <c r="H662" s="23" t="n">
        <v>240000</v>
      </c>
      <c r="I662" s="23" t="n">
        <v>240000</v>
      </c>
      <c r="J662" s="23" t="inlineStr">
        <is>
          <t>efectivo</t>
        </is>
      </c>
    </row>
    <row r="663" hidden="1" customFormat="1" s="23">
      <c r="A663" s="38" t="n">
        <v>46164</v>
      </c>
      <c r="B663" s="23" t="inlineStr">
        <is>
          <t>Negro Luis Ney</t>
        </is>
      </c>
      <c r="C663" s="23" t="inlineStr">
        <is>
          <t>Bajaj OTE 68H</t>
        </is>
      </c>
      <c r="D663" s="23" t="inlineStr">
        <is>
          <t>OTE68H</t>
        </is>
      </c>
      <c r="H663" s="23" t="n">
        <v>240000</v>
      </c>
      <c r="I663" s="23" t="n">
        <v>240000</v>
      </c>
      <c r="J663" s="23" t="inlineStr">
        <is>
          <t>efectivo</t>
        </is>
      </c>
    </row>
    <row r="664" hidden="1" customFormat="1" s="23">
      <c r="A664" s="38" t="n">
        <v>46181</v>
      </c>
      <c r="B664" s="23" t="inlineStr">
        <is>
          <t>Negro Luis Ney</t>
        </is>
      </c>
      <c r="C664" s="23" t="inlineStr">
        <is>
          <t>Bajaj OTE 68H</t>
        </is>
      </c>
      <c r="D664" s="23" t="inlineStr">
        <is>
          <t>OTE68H</t>
        </is>
      </c>
      <c r="H664" s="23" t="n">
        <v>240000</v>
      </c>
      <c r="I664" s="23" t="n">
        <v>240000</v>
      </c>
      <c r="J664" s="23" t="inlineStr">
        <is>
          <t>efectivo</t>
        </is>
      </c>
    </row>
    <row r="665" hidden="1" customFormat="1" s="23">
      <c r="A665" s="38" t="n">
        <v>46195</v>
      </c>
      <c r="B665" s="23" t="inlineStr">
        <is>
          <t>Negro Luis Ney</t>
        </is>
      </c>
      <c r="C665" s="23" t="inlineStr">
        <is>
          <t>Bajaj OTE 68H</t>
        </is>
      </c>
      <c r="D665" s="23" t="inlineStr">
        <is>
          <t>OTE68H</t>
        </is>
      </c>
      <c r="H665" s="23" t="n">
        <v>240000</v>
      </c>
      <c r="I665" s="23" t="n">
        <v>240000</v>
      </c>
      <c r="J665" s="23" t="inlineStr">
        <is>
          <t>efectivo</t>
        </is>
      </c>
    </row>
    <row r="666" hidden="1" customFormat="1" s="23">
      <c r="A666" s="38" t="n">
        <v>46208</v>
      </c>
      <c r="B666" s="23" t="inlineStr">
        <is>
          <t>Negro Luis Ney</t>
        </is>
      </c>
      <c r="C666" s="23" t="inlineStr">
        <is>
          <t>Bajaj OTE 68H</t>
        </is>
      </c>
      <c r="D666" s="23" t="inlineStr">
        <is>
          <t>OTE68H</t>
        </is>
      </c>
      <c r="H666" s="23" t="n">
        <v>240000</v>
      </c>
      <c r="I666" s="23" t="n">
        <v>240000</v>
      </c>
      <c r="J666" s="23" t="inlineStr">
        <is>
          <t>efectivo</t>
        </is>
      </c>
    </row>
    <row r="667" hidden="1" customFormat="1" s="23">
      <c r="A667" s="38" t="n">
        <v>46223</v>
      </c>
      <c r="B667" s="23" t="inlineStr">
        <is>
          <t>Negro Luis Ney</t>
        </is>
      </c>
      <c r="C667" s="23" t="inlineStr">
        <is>
          <t>Bajaj OTE 68H</t>
        </is>
      </c>
      <c r="D667" s="23" t="inlineStr">
        <is>
          <t>OTE68H</t>
        </is>
      </c>
      <c r="H667" s="23" t="n">
        <v>240000</v>
      </c>
      <c r="I667" s="23" t="n">
        <v>240000</v>
      </c>
      <c r="J667" s="23" t="inlineStr">
        <is>
          <t>efectivo</t>
        </is>
      </c>
    </row>
    <row r="668" hidden="1" customFormat="1" s="23">
      <c r="A668" s="38" t="n">
        <v>45812</v>
      </c>
      <c r="B668" s="23" t="inlineStr">
        <is>
          <t>Sr Pedro</t>
        </is>
      </c>
      <c r="C668" s="23" t="inlineStr">
        <is>
          <t>Bajaj OTG 82H</t>
        </is>
      </c>
      <c r="D668" s="23" t="inlineStr">
        <is>
          <t>OTG82H</t>
        </is>
      </c>
      <c r="H668" s="23" t="n">
        <v>240000</v>
      </c>
      <c r="I668" s="23" t="n">
        <v>240000</v>
      </c>
      <c r="J668" s="23" t="inlineStr">
        <is>
          <t>efectivo</t>
        </is>
      </c>
    </row>
    <row r="669" hidden="1" customFormat="1" s="23">
      <c r="A669" s="38" t="n">
        <v>45819</v>
      </c>
      <c r="B669" s="23" t="inlineStr">
        <is>
          <t>Sr Pedro</t>
        </is>
      </c>
      <c r="C669" s="23" t="inlineStr">
        <is>
          <t>Bajaj OTG 82H</t>
        </is>
      </c>
      <c r="D669" s="23" t="inlineStr">
        <is>
          <t>OTG82H</t>
        </is>
      </c>
      <c r="H669" s="23" t="n">
        <v>240000</v>
      </c>
      <c r="I669" s="23" t="n">
        <v>240000</v>
      </c>
      <c r="J669" s="23" t="inlineStr">
        <is>
          <t>efectivo</t>
        </is>
      </c>
    </row>
    <row r="670" hidden="1" customFormat="1" s="23">
      <c r="A670" s="38" t="n">
        <v>45826</v>
      </c>
      <c r="B670" s="23" t="inlineStr">
        <is>
          <t>Sr Pedro</t>
        </is>
      </c>
      <c r="C670" s="23" t="inlineStr">
        <is>
          <t>Bajaj OTG 82H</t>
        </is>
      </c>
      <c r="D670" s="23" t="inlineStr">
        <is>
          <t>OTG82H</t>
        </is>
      </c>
      <c r="H670" s="23" t="n">
        <v>240000</v>
      </c>
      <c r="I670" s="23" t="n">
        <v>240000</v>
      </c>
      <c r="J670" s="23" t="inlineStr">
        <is>
          <t>efectivo</t>
        </is>
      </c>
    </row>
    <row r="671" hidden="1" customFormat="1" s="23">
      <c r="A671" s="38" t="n">
        <v>45833</v>
      </c>
      <c r="B671" s="23" t="inlineStr">
        <is>
          <t>Sr Pedro</t>
        </is>
      </c>
      <c r="C671" s="23" t="inlineStr">
        <is>
          <t>Bajaj OTG 82H</t>
        </is>
      </c>
      <c r="D671" s="23" t="inlineStr">
        <is>
          <t>OTG82H</t>
        </is>
      </c>
      <c r="H671" s="23" t="n">
        <v>240000</v>
      </c>
      <c r="I671" s="23" t="n">
        <v>240000</v>
      </c>
      <c r="J671" s="23" t="inlineStr">
        <is>
          <t>efectivo</t>
        </is>
      </c>
    </row>
    <row r="672" hidden="1" customFormat="1" s="23">
      <c r="A672" s="38" t="n">
        <v>45840</v>
      </c>
      <c r="B672" s="23" t="inlineStr">
        <is>
          <t>Sr Pedro</t>
        </is>
      </c>
      <c r="C672" s="23" t="inlineStr">
        <is>
          <t>Bajaj OTG 82H</t>
        </is>
      </c>
      <c r="D672" s="23" t="inlineStr">
        <is>
          <t>OTG82H</t>
        </is>
      </c>
      <c r="H672" s="23" t="n">
        <v>240000</v>
      </c>
      <c r="I672" s="23" t="n">
        <v>240000</v>
      </c>
      <c r="J672" s="23" t="inlineStr">
        <is>
          <t>efectivo</t>
        </is>
      </c>
    </row>
    <row r="673" hidden="1" customFormat="1" s="23">
      <c r="A673" s="38" t="n">
        <v>45847</v>
      </c>
      <c r="B673" s="23" t="inlineStr">
        <is>
          <t>Sr Pedro</t>
        </is>
      </c>
      <c r="C673" s="23" t="inlineStr">
        <is>
          <t>Bajaj OTG 82H</t>
        </is>
      </c>
      <c r="D673" s="23" t="inlineStr">
        <is>
          <t>OTG82H</t>
        </is>
      </c>
      <c r="H673" s="23" t="n">
        <v>240000</v>
      </c>
      <c r="I673" s="23" t="n">
        <v>240000</v>
      </c>
      <c r="J673" s="23" t="inlineStr">
        <is>
          <t>efectivo</t>
        </is>
      </c>
    </row>
    <row r="674" hidden="1" customFormat="1" s="23">
      <c r="A674" s="38" t="n">
        <v>45854</v>
      </c>
      <c r="B674" s="23" t="inlineStr">
        <is>
          <t>Sr Pedro</t>
        </is>
      </c>
      <c r="C674" s="23" t="inlineStr">
        <is>
          <t>Bajaj OTG 82H</t>
        </is>
      </c>
      <c r="D674" s="23" t="inlineStr">
        <is>
          <t>OTG82H</t>
        </is>
      </c>
      <c r="H674" s="23" t="n">
        <v>240000</v>
      </c>
      <c r="I674" s="23" t="n">
        <v>240000</v>
      </c>
      <c r="J674" s="23" t="inlineStr">
        <is>
          <t>efectivo</t>
        </is>
      </c>
    </row>
    <row r="675" hidden="1" customFormat="1" s="23">
      <c r="A675" s="38" t="n">
        <v>45861</v>
      </c>
      <c r="B675" s="23" t="inlineStr">
        <is>
          <t>Sr Pedro</t>
        </is>
      </c>
      <c r="C675" s="23" t="inlineStr">
        <is>
          <t>Bajaj OTG 82H</t>
        </is>
      </c>
      <c r="D675" s="23" t="inlineStr">
        <is>
          <t>OTG82H</t>
        </is>
      </c>
      <c r="H675" s="23" t="n">
        <v>240000</v>
      </c>
      <c r="I675" s="23" t="n">
        <v>240000</v>
      </c>
      <c r="J675" s="23" t="inlineStr">
        <is>
          <t>efectivo</t>
        </is>
      </c>
    </row>
    <row r="676" hidden="1" customFormat="1" s="23">
      <c r="A676" s="38" t="n">
        <v>45868</v>
      </c>
      <c r="B676" s="23" t="inlineStr">
        <is>
          <t>Sr Pedro</t>
        </is>
      </c>
      <c r="C676" s="23" t="inlineStr">
        <is>
          <t>Bajaj OTG 82H</t>
        </is>
      </c>
      <c r="D676" s="23" t="inlineStr">
        <is>
          <t>OTG82H</t>
        </is>
      </c>
      <c r="H676" s="23" t="n">
        <v>240000</v>
      </c>
      <c r="I676" s="23" t="n">
        <v>240000</v>
      </c>
      <c r="J676" s="23" t="inlineStr">
        <is>
          <t>efectivo</t>
        </is>
      </c>
    </row>
    <row r="677" hidden="1" customFormat="1" s="23">
      <c r="A677" s="38" t="n">
        <v>45875</v>
      </c>
      <c r="B677" s="23" t="inlineStr">
        <is>
          <t>Sr Pedro</t>
        </is>
      </c>
      <c r="C677" s="23" t="inlineStr">
        <is>
          <t>Bajaj OTG 82H</t>
        </is>
      </c>
      <c r="D677" s="23" t="inlineStr">
        <is>
          <t>OTG82H</t>
        </is>
      </c>
      <c r="H677" s="23" t="n">
        <v>240000</v>
      </c>
      <c r="I677" s="23" t="n">
        <v>240000</v>
      </c>
      <c r="J677" s="23" t="inlineStr">
        <is>
          <t>efectivo</t>
        </is>
      </c>
    </row>
    <row r="678" hidden="1" customFormat="1" s="23">
      <c r="A678" s="38" t="n">
        <v>45882</v>
      </c>
      <c r="B678" s="23" t="inlineStr">
        <is>
          <t>Sr Pedro</t>
        </is>
      </c>
      <c r="C678" s="23" t="inlineStr">
        <is>
          <t>Bajaj OTG 82H</t>
        </is>
      </c>
      <c r="D678" s="23" t="inlineStr">
        <is>
          <t>OTG82H</t>
        </is>
      </c>
      <c r="H678" s="23" t="n">
        <v>240000</v>
      </c>
      <c r="I678" s="23" t="n">
        <v>240000</v>
      </c>
      <c r="J678" s="23" t="inlineStr">
        <is>
          <t>efectivo</t>
        </is>
      </c>
    </row>
    <row r="679" hidden="1" customFormat="1" s="23">
      <c r="A679" s="38" t="n">
        <v>45889</v>
      </c>
      <c r="B679" s="23" t="inlineStr">
        <is>
          <t>Sr Pedro</t>
        </is>
      </c>
      <c r="C679" s="23" t="inlineStr">
        <is>
          <t>Bajaj OTG 82H</t>
        </is>
      </c>
      <c r="D679" s="23" t="inlineStr">
        <is>
          <t>OTG82H</t>
        </is>
      </c>
      <c r="H679" s="23" t="n">
        <v>240000</v>
      </c>
      <c r="I679" s="23" t="n">
        <v>240000</v>
      </c>
      <c r="J679" s="23" t="inlineStr">
        <is>
          <t>efectivo</t>
        </is>
      </c>
    </row>
    <row r="680" hidden="1" customFormat="1" s="23">
      <c r="A680" s="38" t="n">
        <v>45896</v>
      </c>
      <c r="B680" s="23" t="inlineStr">
        <is>
          <t>Sr Pedro</t>
        </is>
      </c>
      <c r="C680" s="23" t="inlineStr">
        <is>
          <t>Bajaj OTG 82H</t>
        </is>
      </c>
      <c r="D680" s="23" t="inlineStr">
        <is>
          <t>OTG82H</t>
        </is>
      </c>
      <c r="H680" s="23" t="n">
        <v>240000</v>
      </c>
      <c r="I680" s="23" t="n">
        <v>240000</v>
      </c>
      <c r="J680" s="23" t="inlineStr">
        <is>
          <t>efectivo</t>
        </is>
      </c>
    </row>
    <row r="681" hidden="1" customFormat="1" s="23">
      <c r="A681" s="38" t="n">
        <v>45903</v>
      </c>
      <c r="B681" s="23" t="inlineStr">
        <is>
          <t>Sr Pedro</t>
        </is>
      </c>
      <c r="C681" s="23" t="inlineStr">
        <is>
          <t>Bajaj OTG 82H</t>
        </is>
      </c>
      <c r="D681" s="23" t="inlineStr">
        <is>
          <t>OTG82H</t>
        </is>
      </c>
      <c r="H681" s="23" t="n">
        <v>240000</v>
      </c>
      <c r="I681" s="23" t="n">
        <v>240000</v>
      </c>
      <c r="J681" s="23" t="inlineStr">
        <is>
          <t>efectivo</t>
        </is>
      </c>
    </row>
    <row r="682" hidden="1" customFormat="1" s="23">
      <c r="A682" s="38" t="n">
        <v>45910</v>
      </c>
      <c r="B682" s="23" t="inlineStr">
        <is>
          <t>Sr Pedro</t>
        </is>
      </c>
      <c r="C682" s="23" t="inlineStr">
        <is>
          <t>Bajaj OTG 82H</t>
        </is>
      </c>
      <c r="D682" s="23" t="inlineStr">
        <is>
          <t>OTG82H</t>
        </is>
      </c>
      <c r="H682" s="23" t="n">
        <v>240000</v>
      </c>
      <c r="I682" s="23" t="n">
        <v>240000</v>
      </c>
      <c r="J682" s="23" t="inlineStr">
        <is>
          <t>efectivo</t>
        </is>
      </c>
    </row>
    <row r="683" hidden="1" customFormat="1" s="23">
      <c r="A683" s="38" t="n">
        <v>45917</v>
      </c>
      <c r="B683" s="23" t="inlineStr">
        <is>
          <t>Sr Pedro</t>
        </is>
      </c>
      <c r="C683" s="23" t="inlineStr">
        <is>
          <t>Bajaj OTG 82H</t>
        </is>
      </c>
      <c r="D683" s="23" t="inlineStr">
        <is>
          <t>OTG82H</t>
        </is>
      </c>
      <c r="H683" s="23" t="n">
        <v>240000</v>
      </c>
      <c r="I683" s="23" t="n">
        <v>240000</v>
      </c>
      <c r="J683" s="23" t="inlineStr">
        <is>
          <t>efectivo</t>
        </is>
      </c>
    </row>
    <row r="684" hidden="1" customFormat="1" s="23">
      <c r="A684" s="38" t="n">
        <v>45924</v>
      </c>
      <c r="B684" s="23" t="inlineStr">
        <is>
          <t>Sr Pedro</t>
        </is>
      </c>
      <c r="C684" s="23" t="inlineStr">
        <is>
          <t>Bajaj OTG 82H</t>
        </is>
      </c>
      <c r="D684" s="23" t="inlineStr">
        <is>
          <t>OTG82H</t>
        </is>
      </c>
      <c r="H684" s="23" t="n">
        <v>240000</v>
      </c>
      <c r="I684" s="23" t="n">
        <v>240000</v>
      </c>
      <c r="J684" s="23" t="inlineStr">
        <is>
          <t>efectivo</t>
        </is>
      </c>
    </row>
    <row r="685" hidden="1" customFormat="1" s="23">
      <c r="A685" s="38" t="n">
        <v>45931</v>
      </c>
      <c r="B685" s="23" t="inlineStr">
        <is>
          <t>Sr Pedro</t>
        </is>
      </c>
      <c r="C685" s="23" t="inlineStr">
        <is>
          <t>Bajaj OTG 82H</t>
        </is>
      </c>
      <c r="D685" s="23" t="inlineStr">
        <is>
          <t>OTG82H</t>
        </is>
      </c>
      <c r="H685" s="23" t="n">
        <v>240000</v>
      </c>
      <c r="I685" s="23" t="n">
        <v>240000</v>
      </c>
      <c r="J685" s="23" t="inlineStr">
        <is>
          <t>efectivo</t>
        </is>
      </c>
    </row>
    <row r="686" hidden="1" customFormat="1" s="23">
      <c r="A686" s="38" t="n">
        <v>45950</v>
      </c>
      <c r="B686" s="23" t="inlineStr">
        <is>
          <t>Sr Pedro</t>
        </is>
      </c>
      <c r="C686" s="23" t="inlineStr">
        <is>
          <t>Bajaj OTG 82H</t>
        </is>
      </c>
      <c r="D686" s="23" t="inlineStr">
        <is>
          <t>OTG82H</t>
        </is>
      </c>
      <c r="H686" s="23" t="n">
        <v>240000</v>
      </c>
      <c r="I686" s="23" t="n">
        <v>240000</v>
      </c>
      <c r="J686" s="23" t="inlineStr">
        <is>
          <t>efectivo</t>
        </is>
      </c>
    </row>
    <row r="687" hidden="1" customFormat="1" s="23">
      <c r="A687" s="38" t="n">
        <v>45955</v>
      </c>
      <c r="B687" s="23" t="inlineStr">
        <is>
          <t>Sr Pedro</t>
        </is>
      </c>
      <c r="C687" s="23" t="inlineStr">
        <is>
          <t>Bajaj OTG 82H</t>
        </is>
      </c>
      <c r="D687" s="23" t="inlineStr">
        <is>
          <t>OTG82H</t>
        </is>
      </c>
      <c r="H687" s="23" t="n">
        <v>240000</v>
      </c>
      <c r="I687" s="23" t="n">
        <v>240000</v>
      </c>
      <c r="J687" s="23" t="inlineStr">
        <is>
          <t>efectivo</t>
        </is>
      </c>
    </row>
    <row r="688" hidden="1" customFormat="1" s="23">
      <c r="A688" s="38" t="n">
        <v>45959</v>
      </c>
      <c r="B688" s="23" t="inlineStr">
        <is>
          <t>Sr Pedro</t>
        </is>
      </c>
      <c r="C688" s="23" t="inlineStr">
        <is>
          <t>Bajaj OTG 82H</t>
        </is>
      </c>
      <c r="D688" s="23" t="inlineStr">
        <is>
          <t>OTG82H</t>
        </is>
      </c>
      <c r="H688" s="23" t="n">
        <v>240000</v>
      </c>
      <c r="I688" s="23" t="n">
        <v>240000</v>
      </c>
      <c r="J688" s="23" t="inlineStr">
        <is>
          <t>efectivo</t>
        </is>
      </c>
    </row>
    <row r="689" hidden="1" customFormat="1" s="23">
      <c r="A689" s="38" t="n">
        <v>45968</v>
      </c>
      <c r="B689" s="23" t="inlineStr">
        <is>
          <t>Sr Pedro</t>
        </is>
      </c>
      <c r="C689" s="23" t="inlineStr">
        <is>
          <t>Bajaj OTG 82H</t>
        </is>
      </c>
      <c r="D689" s="23" t="inlineStr">
        <is>
          <t>OTG82H</t>
        </is>
      </c>
      <c r="H689" s="23" t="n">
        <v>240000</v>
      </c>
      <c r="I689" s="23" t="n">
        <v>240000</v>
      </c>
      <c r="J689" s="23" t="inlineStr">
        <is>
          <t>efectivo</t>
        </is>
      </c>
    </row>
    <row r="690" hidden="1" customFormat="1" s="23">
      <c r="A690" s="38" t="n">
        <v>45978</v>
      </c>
      <c r="B690" s="23" t="inlineStr">
        <is>
          <t>Sr Pedro</t>
        </is>
      </c>
      <c r="C690" s="23" t="inlineStr">
        <is>
          <t>Bajaj OTG 82H</t>
        </is>
      </c>
      <c r="D690" s="23" t="inlineStr">
        <is>
          <t>OTG82H</t>
        </is>
      </c>
      <c r="H690" s="23" t="n">
        <v>240000</v>
      </c>
      <c r="I690" s="23" t="n">
        <v>240000</v>
      </c>
      <c r="J690" s="23" t="inlineStr">
        <is>
          <t>efectivo</t>
        </is>
      </c>
    </row>
    <row r="691" hidden="1" customFormat="1" s="23">
      <c r="A691" s="38" t="n">
        <v>45978</v>
      </c>
      <c r="B691" s="23" t="inlineStr">
        <is>
          <t>Sr Pedro</t>
        </is>
      </c>
      <c r="C691" s="23" t="inlineStr">
        <is>
          <t>Bajaj OTG 82H</t>
        </is>
      </c>
      <c r="D691" s="23" t="inlineStr">
        <is>
          <t>OTG82H</t>
        </is>
      </c>
      <c r="H691" s="23" t="n">
        <v>240000</v>
      </c>
      <c r="I691" s="23" t="n">
        <v>240000</v>
      </c>
      <c r="J691" s="23" t="inlineStr">
        <is>
          <t>efectivo</t>
        </is>
      </c>
    </row>
    <row r="692" hidden="1" customFormat="1" s="23">
      <c r="A692" s="38" t="n">
        <v>45987</v>
      </c>
      <c r="B692" s="23" t="inlineStr">
        <is>
          <t>Sr Pedro</t>
        </is>
      </c>
      <c r="C692" s="23" t="inlineStr">
        <is>
          <t>Bajaj OTG 82H</t>
        </is>
      </c>
      <c r="D692" s="23" t="inlineStr">
        <is>
          <t>OTG82H</t>
        </is>
      </c>
      <c r="H692" s="23" t="n">
        <v>240000</v>
      </c>
      <c r="I692" s="23" t="n">
        <v>240000</v>
      </c>
      <c r="J692" s="23" t="inlineStr">
        <is>
          <t>efectivo</t>
        </is>
      </c>
    </row>
    <row r="693" hidden="1" customFormat="1" s="23">
      <c r="A693" s="38" t="n">
        <v>45987</v>
      </c>
      <c r="B693" s="23" t="inlineStr">
        <is>
          <t>Sr Pedro</t>
        </is>
      </c>
      <c r="C693" s="23" t="inlineStr">
        <is>
          <t>Bajaj OTG 82H</t>
        </is>
      </c>
      <c r="D693" s="23" t="inlineStr">
        <is>
          <t>OTG82H</t>
        </is>
      </c>
      <c r="H693" s="23" t="n">
        <v>240000</v>
      </c>
      <c r="I693" s="23" t="n">
        <v>240000</v>
      </c>
      <c r="J693" s="23" t="inlineStr">
        <is>
          <t>efectivo</t>
        </is>
      </c>
    </row>
    <row r="694" hidden="1" customFormat="1" s="23">
      <c r="A694" s="38" t="n">
        <v>45987</v>
      </c>
      <c r="B694" s="23" t="inlineStr">
        <is>
          <t>Sr Pedro</t>
        </is>
      </c>
      <c r="C694" s="23" t="inlineStr">
        <is>
          <t>Bajaj OTG 82H</t>
        </is>
      </c>
      <c r="D694" s="23" t="inlineStr">
        <is>
          <t>OTG82H</t>
        </is>
      </c>
      <c r="H694" s="23" t="n">
        <v>240000</v>
      </c>
      <c r="I694" s="23" t="n">
        <v>240000</v>
      </c>
      <c r="J694" s="23" t="inlineStr">
        <is>
          <t>efectivo</t>
        </is>
      </c>
    </row>
    <row r="695" hidden="1" customFormat="1" s="23">
      <c r="A695" s="38" t="n">
        <v>45987</v>
      </c>
      <c r="B695" s="23" t="inlineStr">
        <is>
          <t>Sr Pedro</t>
        </is>
      </c>
      <c r="C695" s="23" t="inlineStr">
        <is>
          <t>Bajaj OTG 82H</t>
        </is>
      </c>
      <c r="D695" s="23" t="inlineStr">
        <is>
          <t>OTG82H</t>
        </is>
      </c>
      <c r="H695" s="23" t="n">
        <v>240000</v>
      </c>
      <c r="I695" s="23" t="n">
        <v>240000</v>
      </c>
      <c r="J695" s="23" t="inlineStr">
        <is>
          <t>efectivo</t>
        </is>
      </c>
    </row>
    <row r="696" hidden="1" customFormat="1" s="23">
      <c r="A696" s="38" t="n">
        <v>46015</v>
      </c>
      <c r="B696" s="23" t="inlineStr">
        <is>
          <t>Sr Pedro</t>
        </is>
      </c>
      <c r="C696" s="23" t="inlineStr">
        <is>
          <t>Bajaj OTG 82H</t>
        </is>
      </c>
      <c r="D696" s="23" t="inlineStr">
        <is>
          <t>OTG82H</t>
        </is>
      </c>
      <c r="H696" s="23" t="n">
        <v>240000</v>
      </c>
      <c r="I696" s="23" t="n">
        <v>240000</v>
      </c>
      <c r="J696" s="23" t="inlineStr">
        <is>
          <t>efectivo</t>
        </is>
      </c>
    </row>
    <row r="697" hidden="1" customFormat="1" s="23">
      <c r="A697" s="38" t="n">
        <v>46036</v>
      </c>
      <c r="B697" s="23" t="inlineStr">
        <is>
          <t>Sr Pedro</t>
        </is>
      </c>
      <c r="C697" s="23" t="inlineStr">
        <is>
          <t>Bajaj OTG 82H</t>
        </is>
      </c>
      <c r="D697" s="23" t="inlineStr">
        <is>
          <t>OTG82H</t>
        </is>
      </c>
      <c r="H697" s="23" t="n">
        <v>240000</v>
      </c>
      <c r="I697" s="23" t="n">
        <v>240000</v>
      </c>
      <c r="J697" s="23" t="inlineStr">
        <is>
          <t>efectivo</t>
        </is>
      </c>
    </row>
    <row r="698" hidden="1" customFormat="1" s="23">
      <c r="A698" s="38" t="n">
        <v>46036</v>
      </c>
      <c r="B698" s="23" t="inlineStr">
        <is>
          <t>Sr Pedro</t>
        </is>
      </c>
      <c r="C698" s="23" t="inlineStr">
        <is>
          <t>Bajaj OTG 82H</t>
        </is>
      </c>
      <c r="D698" s="23" t="inlineStr">
        <is>
          <t>OTG82H</t>
        </is>
      </c>
      <c r="H698" s="23" t="n">
        <v>240000</v>
      </c>
      <c r="I698" s="23" t="n">
        <v>240000</v>
      </c>
      <c r="J698" s="23" t="inlineStr">
        <is>
          <t>efectivo</t>
        </is>
      </c>
    </row>
    <row r="699" hidden="1" customFormat="1" s="23">
      <c r="A699" s="38" t="n">
        <v>46051</v>
      </c>
      <c r="B699" s="23" t="inlineStr">
        <is>
          <t>Sr Pedro</t>
        </is>
      </c>
      <c r="C699" s="23" t="inlineStr">
        <is>
          <t>Bajaj OTG 82H</t>
        </is>
      </c>
      <c r="D699" s="23" t="inlineStr">
        <is>
          <t>OTG82H</t>
        </is>
      </c>
      <c r="H699" s="23" t="n">
        <v>240000</v>
      </c>
      <c r="I699" s="23" t="n">
        <v>240000</v>
      </c>
      <c r="J699" s="23" t="inlineStr">
        <is>
          <t>efectivo</t>
        </is>
      </c>
    </row>
    <row r="700" hidden="1" customFormat="1" s="23">
      <c r="A700" s="38" t="n">
        <v>46061</v>
      </c>
      <c r="B700" s="23" t="inlineStr">
        <is>
          <t>Sr Pedro</t>
        </is>
      </c>
      <c r="C700" s="23" t="inlineStr">
        <is>
          <t>Bajaj OTG 82H</t>
        </is>
      </c>
      <c r="D700" s="23" t="inlineStr">
        <is>
          <t>OTG82H</t>
        </is>
      </c>
      <c r="H700" s="23" t="n">
        <v>240000</v>
      </c>
      <c r="I700" s="23" t="n">
        <v>240000</v>
      </c>
      <c r="J700" s="23" t="inlineStr">
        <is>
          <t>efectivo</t>
        </is>
      </c>
    </row>
    <row r="701" hidden="1" customFormat="1" s="23">
      <c r="A701" s="38" t="n">
        <v>46069</v>
      </c>
      <c r="B701" s="23" t="inlineStr">
        <is>
          <t>Sr Pedro</t>
        </is>
      </c>
      <c r="C701" s="23" t="inlineStr">
        <is>
          <t>Bajaj OTG 82H</t>
        </is>
      </c>
      <c r="D701" s="23" t="inlineStr">
        <is>
          <t>OTG82H</t>
        </is>
      </c>
      <c r="H701" s="23" t="n">
        <v>240000</v>
      </c>
      <c r="I701" s="23" t="n">
        <v>240000</v>
      </c>
      <c r="J701" s="23" t="inlineStr">
        <is>
          <t>efectivo</t>
        </is>
      </c>
    </row>
    <row r="702" hidden="1" customFormat="1" s="23">
      <c r="A702" s="38" t="n">
        <v>46096</v>
      </c>
      <c r="B702" s="23" t="inlineStr">
        <is>
          <t>Sr Pedro</t>
        </is>
      </c>
      <c r="C702" s="23" t="inlineStr">
        <is>
          <t>Bajaj OTG 82H</t>
        </is>
      </c>
      <c r="D702" s="23" t="inlineStr">
        <is>
          <t>OTG82H</t>
        </is>
      </c>
      <c r="H702" s="23" t="n">
        <v>240000</v>
      </c>
      <c r="I702" s="23" t="n">
        <v>240000</v>
      </c>
      <c r="J702" s="23" t="inlineStr">
        <is>
          <t>efectivo</t>
        </is>
      </c>
    </row>
    <row r="703" hidden="1" customFormat="1" s="23">
      <c r="A703" s="38" t="n">
        <v>46096</v>
      </c>
      <c r="B703" s="23" t="inlineStr">
        <is>
          <t>Sr Pedro</t>
        </is>
      </c>
      <c r="C703" s="23" t="inlineStr">
        <is>
          <t>Bajaj OTG 82H</t>
        </is>
      </c>
      <c r="D703" s="23" t="inlineStr">
        <is>
          <t>OTG82H</t>
        </is>
      </c>
      <c r="H703" s="23" t="n">
        <v>240000</v>
      </c>
      <c r="I703" s="23" t="n">
        <v>240000</v>
      </c>
      <c r="J703" s="23" t="inlineStr">
        <is>
          <t>efectivo</t>
        </is>
      </c>
    </row>
    <row r="704" hidden="1" customFormat="1" s="23">
      <c r="A704" s="38" t="n">
        <v>46100</v>
      </c>
      <c r="B704" s="23" t="inlineStr">
        <is>
          <t>Sr Pedro</t>
        </is>
      </c>
      <c r="C704" s="23" t="inlineStr">
        <is>
          <t>Bajaj OTG 82H</t>
        </is>
      </c>
      <c r="D704" s="23" t="inlineStr">
        <is>
          <t>OTG82H</t>
        </is>
      </c>
      <c r="H704" s="23" t="n">
        <v>240000</v>
      </c>
      <c r="I704" s="23" t="n">
        <v>240000</v>
      </c>
      <c r="J704" s="23" t="inlineStr">
        <is>
          <t>efectivo</t>
        </is>
      </c>
    </row>
    <row r="705" hidden="1" customFormat="1" s="23">
      <c r="A705" s="38" t="n">
        <v>46104</v>
      </c>
      <c r="B705" s="23" t="inlineStr">
        <is>
          <t>Sr Pedro</t>
        </is>
      </c>
      <c r="C705" s="23" t="inlineStr">
        <is>
          <t>Bajaj OTG 82H</t>
        </is>
      </c>
      <c r="D705" s="23" t="inlineStr">
        <is>
          <t>OTG82H</t>
        </is>
      </c>
      <c r="H705" s="23" t="n">
        <v>240000</v>
      </c>
      <c r="I705" s="23" t="n">
        <v>240000</v>
      </c>
      <c r="J705" s="23" t="inlineStr">
        <is>
          <t>efectivo</t>
        </is>
      </c>
    </row>
    <row r="706" hidden="1" customFormat="1" s="23">
      <c r="A706" s="38" t="n">
        <v>46113</v>
      </c>
      <c r="B706" s="23" t="inlineStr">
        <is>
          <t>Sr Pedro</t>
        </is>
      </c>
      <c r="C706" s="23" t="inlineStr">
        <is>
          <t>Bajaj OTG 82H</t>
        </is>
      </c>
      <c r="D706" s="23" t="inlineStr">
        <is>
          <t>OTG82H</t>
        </is>
      </c>
      <c r="H706" s="23" t="n">
        <v>240000</v>
      </c>
      <c r="I706" s="23" t="n">
        <v>240000</v>
      </c>
      <c r="J706" s="23" t="inlineStr">
        <is>
          <t>efectivo</t>
        </is>
      </c>
    </row>
    <row r="707" hidden="1" customFormat="1" s="23">
      <c r="A707" s="38" t="n">
        <v>46113</v>
      </c>
      <c r="B707" s="23" t="inlineStr">
        <is>
          <t>Sr Pedro</t>
        </is>
      </c>
      <c r="C707" s="23" t="inlineStr">
        <is>
          <t>Bajaj OTG 82H</t>
        </is>
      </c>
      <c r="D707" s="23" t="inlineStr">
        <is>
          <t>OTG82H</t>
        </is>
      </c>
      <c r="H707" s="23" t="n">
        <v>240000</v>
      </c>
      <c r="I707" s="23" t="n">
        <v>240000</v>
      </c>
      <c r="J707" s="23" t="inlineStr">
        <is>
          <t>efectivo</t>
        </is>
      </c>
    </row>
    <row r="708" hidden="1" customFormat="1" s="23">
      <c r="A708" s="38" t="n">
        <v>46121</v>
      </c>
      <c r="B708" s="23" t="inlineStr">
        <is>
          <t>Sr Pedro</t>
        </is>
      </c>
      <c r="C708" s="23" t="inlineStr">
        <is>
          <t>Bajaj OTG 82H</t>
        </is>
      </c>
      <c r="D708" s="23" t="inlineStr">
        <is>
          <t>OTG82H</t>
        </is>
      </c>
      <c r="H708" s="23" t="n">
        <v>240000</v>
      </c>
      <c r="I708" s="23" t="n">
        <v>240000</v>
      </c>
      <c r="J708" s="23" t="inlineStr">
        <is>
          <t>efectivo</t>
        </is>
      </c>
    </row>
    <row r="709" hidden="1" customFormat="1" s="23">
      <c r="A709" s="38" t="n">
        <v>46128</v>
      </c>
      <c r="B709" s="23" t="inlineStr">
        <is>
          <t>Sr Pedro</t>
        </is>
      </c>
      <c r="C709" s="23" t="inlineStr">
        <is>
          <t>Bajaj OTG 82H</t>
        </is>
      </c>
      <c r="D709" s="23" t="inlineStr">
        <is>
          <t>OTG82H</t>
        </is>
      </c>
      <c r="H709" s="23" t="n">
        <v>240000</v>
      </c>
      <c r="I709" s="23" t="n">
        <v>240000</v>
      </c>
      <c r="J709" s="23" t="inlineStr">
        <is>
          <t>efectivo</t>
        </is>
      </c>
    </row>
    <row r="710" hidden="1" customFormat="1" s="23">
      <c r="A710" s="38" t="n">
        <v>46134</v>
      </c>
      <c r="B710" s="23" t="inlineStr">
        <is>
          <t>Sr Pedro</t>
        </is>
      </c>
      <c r="C710" s="23" t="inlineStr">
        <is>
          <t>Bajaj OTG 82H</t>
        </is>
      </c>
      <c r="D710" s="23" t="inlineStr">
        <is>
          <t>OTG82H</t>
        </is>
      </c>
      <c r="H710" s="23" t="n">
        <v>240000</v>
      </c>
      <c r="I710" s="23" t="n">
        <v>240000</v>
      </c>
      <c r="J710" s="23" t="inlineStr">
        <is>
          <t>efectivo</t>
        </is>
      </c>
    </row>
    <row r="711" hidden="1" customFormat="1" s="23">
      <c r="A711" s="38" t="n">
        <v>46142</v>
      </c>
      <c r="B711" s="23" t="inlineStr">
        <is>
          <t>Sr Pedro</t>
        </is>
      </c>
      <c r="C711" s="23" t="inlineStr">
        <is>
          <t>Bajaj OTG 82H</t>
        </is>
      </c>
      <c r="D711" s="23" t="inlineStr">
        <is>
          <t>OTG82H</t>
        </is>
      </c>
      <c r="H711" s="23" t="n">
        <v>240000</v>
      </c>
      <c r="I711" s="23" t="n">
        <v>240000</v>
      </c>
      <c r="J711" s="23" t="inlineStr">
        <is>
          <t>efectivo</t>
        </is>
      </c>
    </row>
    <row r="712" hidden="1" customFormat="1" s="23">
      <c r="A712" s="38" t="n">
        <v>46155</v>
      </c>
      <c r="B712" s="23" t="inlineStr">
        <is>
          <t>Sr Pedro</t>
        </is>
      </c>
      <c r="C712" s="23" t="inlineStr">
        <is>
          <t>Bajaj OTG 82H</t>
        </is>
      </c>
      <c r="D712" s="23" t="inlineStr">
        <is>
          <t>OTG82H</t>
        </is>
      </c>
      <c r="H712" s="23" t="n">
        <v>240000</v>
      </c>
      <c r="I712" s="23" t="n">
        <v>240000</v>
      </c>
      <c r="J712" s="23" t="inlineStr">
        <is>
          <t>efectivo</t>
        </is>
      </c>
    </row>
    <row r="713" hidden="1" customFormat="1" s="23">
      <c r="A713" s="38" t="n">
        <v>46163</v>
      </c>
      <c r="B713" s="23" t="inlineStr">
        <is>
          <t>Sr Pedro</t>
        </is>
      </c>
      <c r="C713" s="23" t="inlineStr">
        <is>
          <t>Bajaj OTG 82H</t>
        </is>
      </c>
      <c r="D713" s="23" t="inlineStr">
        <is>
          <t>OTG82H</t>
        </is>
      </c>
      <c r="H713" s="23" t="n">
        <v>240000</v>
      </c>
      <c r="I713" s="23" t="n">
        <v>240000</v>
      </c>
      <c r="J713" s="23" t="inlineStr">
        <is>
          <t>efectivo</t>
        </is>
      </c>
    </row>
    <row r="714" hidden="1" customFormat="1" s="23">
      <c r="A714" s="38" t="n">
        <v>46170</v>
      </c>
      <c r="B714" s="23" t="inlineStr">
        <is>
          <t>Sr Pedro</t>
        </is>
      </c>
      <c r="C714" s="23" t="inlineStr">
        <is>
          <t>Bajaj OTG 82H</t>
        </is>
      </c>
      <c r="D714" s="23" t="inlineStr">
        <is>
          <t>OTG82H</t>
        </is>
      </c>
      <c r="H714" s="23" t="n">
        <v>240000</v>
      </c>
      <c r="I714" s="23" t="n">
        <v>240000</v>
      </c>
      <c r="J714" s="23" t="inlineStr">
        <is>
          <t>efectivo</t>
        </is>
      </c>
    </row>
    <row r="715" hidden="1" customFormat="1" s="23">
      <c r="A715" s="38" t="n">
        <v>46177</v>
      </c>
      <c r="B715" s="23" t="inlineStr">
        <is>
          <t>Sr Pedro</t>
        </is>
      </c>
      <c r="C715" s="23" t="inlineStr">
        <is>
          <t>Bajaj OTG 82H</t>
        </is>
      </c>
      <c r="D715" s="23" t="inlineStr">
        <is>
          <t>OTG82H</t>
        </is>
      </c>
      <c r="H715" s="23" t="n">
        <v>240000</v>
      </c>
      <c r="I715" s="23" t="n">
        <v>240000</v>
      </c>
      <c r="J715" s="23" t="inlineStr">
        <is>
          <t>efectivo</t>
        </is>
      </c>
    </row>
    <row r="716" hidden="1" customFormat="1" s="23">
      <c r="A716" s="38" t="n">
        <v>46184</v>
      </c>
      <c r="B716" s="23" t="inlineStr">
        <is>
          <t>Sr Pedro</t>
        </is>
      </c>
      <c r="C716" s="23" t="inlineStr">
        <is>
          <t>Bajaj OTG 82H</t>
        </is>
      </c>
      <c r="D716" s="23" t="inlineStr">
        <is>
          <t>OTG82H</t>
        </is>
      </c>
      <c r="H716" s="23" t="n">
        <v>240000</v>
      </c>
      <c r="I716" s="23" t="n">
        <v>240000</v>
      </c>
      <c r="J716" s="23" t="inlineStr">
        <is>
          <t>efectivo</t>
        </is>
      </c>
    </row>
    <row r="717" hidden="1" customFormat="1" s="23">
      <c r="A717" s="38" t="n">
        <v>46191</v>
      </c>
      <c r="B717" s="23" t="inlineStr">
        <is>
          <t>Sr Pedro</t>
        </is>
      </c>
      <c r="C717" s="23" t="inlineStr">
        <is>
          <t>Bajaj OTG 82H</t>
        </is>
      </c>
      <c r="D717" s="23" t="inlineStr">
        <is>
          <t>OTG82H</t>
        </is>
      </c>
      <c r="H717" s="23" t="n">
        <v>240000</v>
      </c>
      <c r="I717" s="23" t="n">
        <v>240000</v>
      </c>
      <c r="J717" s="23" t="inlineStr">
        <is>
          <t>efectivo</t>
        </is>
      </c>
    </row>
    <row r="718" hidden="1" customFormat="1" s="23">
      <c r="A718" s="38" t="n">
        <v>46198</v>
      </c>
      <c r="B718" s="23" t="inlineStr">
        <is>
          <t>Sr Pedro</t>
        </is>
      </c>
      <c r="C718" s="23" t="inlineStr">
        <is>
          <t>Bajaj OTG 82H</t>
        </is>
      </c>
      <c r="D718" s="23" t="inlineStr">
        <is>
          <t>OTG82H</t>
        </is>
      </c>
      <c r="H718" s="23" t="n">
        <v>240000</v>
      </c>
      <c r="I718" s="23" t="n">
        <v>240000</v>
      </c>
      <c r="J718" s="23" t="inlineStr">
        <is>
          <t>efectivo</t>
        </is>
      </c>
    </row>
    <row r="719" hidden="1" customFormat="1" s="23">
      <c r="A719" s="38" t="n">
        <v>46206</v>
      </c>
      <c r="B719" s="23" t="inlineStr">
        <is>
          <t>Sr Pedro</t>
        </is>
      </c>
      <c r="C719" s="23" t="inlineStr">
        <is>
          <t>Bajaj OTG 82H</t>
        </is>
      </c>
      <c r="D719" s="23" t="inlineStr">
        <is>
          <t>OTG82H</t>
        </is>
      </c>
      <c r="H719" s="23" t="n">
        <v>240000</v>
      </c>
      <c r="I719" s="23" t="n">
        <v>240000</v>
      </c>
      <c r="J719" s="23" t="inlineStr">
        <is>
          <t>efectivo</t>
        </is>
      </c>
    </row>
    <row r="720" hidden="1" customFormat="1" s="23">
      <c r="A720" s="38" t="n">
        <v>46213</v>
      </c>
      <c r="B720" s="23" t="inlineStr">
        <is>
          <t>Sr Pedro</t>
        </is>
      </c>
      <c r="C720" s="23" t="inlineStr">
        <is>
          <t>Bajaj OTG 82H</t>
        </is>
      </c>
      <c r="D720" s="23" t="inlineStr">
        <is>
          <t>OTG82H</t>
        </is>
      </c>
      <c r="H720" s="23" t="n">
        <v>240000</v>
      </c>
      <c r="I720" s="23" t="n">
        <v>240000</v>
      </c>
      <c r="J720" s="23" t="inlineStr">
        <is>
          <t>efectivo</t>
        </is>
      </c>
    </row>
    <row r="721" hidden="1" customFormat="1" s="23">
      <c r="A721" s="38" t="n">
        <v>46219</v>
      </c>
      <c r="B721" s="23" t="inlineStr">
        <is>
          <t>Sr Pedro</t>
        </is>
      </c>
      <c r="C721" s="23" t="inlineStr">
        <is>
          <t>Bajaj OTG 82H</t>
        </is>
      </c>
      <c r="D721" s="23" t="inlineStr">
        <is>
          <t>OTG82H</t>
        </is>
      </c>
      <c r="H721" s="23" t="n">
        <v>240000</v>
      </c>
      <c r="I721" s="23" t="n">
        <v>240000</v>
      </c>
      <c r="J721" s="23" t="inlineStr">
        <is>
          <t>efectivo</t>
        </is>
      </c>
    </row>
    <row r="722" hidden="1" customFormat="1" s="23">
      <c r="A722" s="38" t="n">
        <v>46226</v>
      </c>
      <c r="B722" s="23" t="inlineStr">
        <is>
          <t>Sr Pedro</t>
        </is>
      </c>
      <c r="C722" s="23" t="inlineStr">
        <is>
          <t>Bajaj OTG 82H</t>
        </is>
      </c>
      <c r="D722" s="23" t="inlineStr">
        <is>
          <t>OTG82H</t>
        </is>
      </c>
      <c r="H722" s="23" t="n">
        <v>240000</v>
      </c>
      <c r="I722" s="23" t="n">
        <v>240000</v>
      </c>
      <c r="J722" s="23" t="inlineStr">
        <is>
          <t>efectivo</t>
        </is>
      </c>
    </row>
    <row r="723" hidden="1" customFormat="1" s="23">
      <c r="A723" s="38" t="n">
        <v>45808</v>
      </c>
      <c r="B723" s="23" t="inlineStr">
        <is>
          <t>Lucho Laura Nosu</t>
        </is>
      </c>
      <c r="C723" s="23" t="inlineStr">
        <is>
          <t>Bajaj OTF 59H</t>
        </is>
      </c>
      <c r="D723" s="23" t="inlineStr">
        <is>
          <t>OTF59H</t>
        </is>
      </c>
      <c r="H723" s="23" t="n">
        <v>240000</v>
      </c>
      <c r="I723" s="23" t="n">
        <v>240000</v>
      </c>
      <c r="J723" s="23" t="inlineStr">
        <is>
          <t>efectivo</t>
        </is>
      </c>
    </row>
    <row r="724" hidden="1" customFormat="1" s="23">
      <c r="A724" s="38" t="n">
        <v>45816</v>
      </c>
      <c r="B724" s="23" t="inlineStr">
        <is>
          <t>Lucho Laura Nosu</t>
        </is>
      </c>
      <c r="C724" s="23" t="inlineStr">
        <is>
          <t>Bajaj OTF 59H</t>
        </is>
      </c>
      <c r="D724" s="23" t="inlineStr">
        <is>
          <t>OTF59H</t>
        </is>
      </c>
      <c r="H724" s="23" t="n">
        <v>240000</v>
      </c>
      <c r="I724" s="23" t="n">
        <v>240000</v>
      </c>
      <c r="J724" s="23" t="inlineStr">
        <is>
          <t>efectivo</t>
        </is>
      </c>
    </row>
    <row r="725" hidden="1" customFormat="1" s="23">
      <c r="A725" s="38" t="n">
        <v>45824</v>
      </c>
      <c r="B725" s="23" t="inlineStr">
        <is>
          <t>Lucho Laura Nosu</t>
        </is>
      </c>
      <c r="C725" s="23" t="inlineStr">
        <is>
          <t>Bajaj OTF 59H</t>
        </is>
      </c>
      <c r="D725" s="23" t="inlineStr">
        <is>
          <t>OTF59H</t>
        </is>
      </c>
      <c r="H725" s="23" t="n">
        <v>240000</v>
      </c>
      <c r="I725" s="23" t="n">
        <v>240000</v>
      </c>
      <c r="J725" s="23" t="inlineStr">
        <is>
          <t>efectivo</t>
        </is>
      </c>
    </row>
    <row r="726" hidden="1" customFormat="1" s="23">
      <c r="A726" s="38" t="n">
        <v>45832</v>
      </c>
      <c r="B726" s="23" t="inlineStr">
        <is>
          <t>Lucho Laura Nosu</t>
        </is>
      </c>
      <c r="C726" s="23" t="inlineStr">
        <is>
          <t>Bajaj OTF 59H</t>
        </is>
      </c>
      <c r="D726" s="23" t="inlineStr">
        <is>
          <t>OTF59H</t>
        </is>
      </c>
      <c r="H726" s="23" t="n">
        <v>240000</v>
      </c>
      <c r="I726" s="23" t="n">
        <v>240000</v>
      </c>
      <c r="J726" s="23" t="inlineStr">
        <is>
          <t>efectivo</t>
        </is>
      </c>
    </row>
    <row r="727" hidden="1" customFormat="1" s="23">
      <c r="A727" s="38" t="n">
        <v>45840</v>
      </c>
      <c r="B727" s="23" t="inlineStr">
        <is>
          <t>Lucho Laura Nosu</t>
        </is>
      </c>
      <c r="C727" s="23" t="inlineStr">
        <is>
          <t>Bajaj OTF 59H</t>
        </is>
      </c>
      <c r="D727" s="23" t="inlineStr">
        <is>
          <t>OTF59H</t>
        </is>
      </c>
      <c r="H727" s="23" t="n">
        <v>240000</v>
      </c>
      <c r="I727" s="23" t="n">
        <v>240000</v>
      </c>
      <c r="J727" s="23" t="inlineStr">
        <is>
          <t>efectivo</t>
        </is>
      </c>
    </row>
    <row r="728" hidden="1" customFormat="1" s="23">
      <c r="A728" s="38" t="n">
        <v>45848</v>
      </c>
      <c r="B728" s="23" t="inlineStr">
        <is>
          <t>Lucho Laura Nosu</t>
        </is>
      </c>
      <c r="C728" s="23" t="inlineStr">
        <is>
          <t>Bajaj OTF 59H</t>
        </is>
      </c>
      <c r="D728" s="23" t="inlineStr">
        <is>
          <t>OTF59H</t>
        </is>
      </c>
      <c r="H728" s="23" t="n">
        <v>240000</v>
      </c>
      <c r="I728" s="23" t="n">
        <v>240000</v>
      </c>
      <c r="J728" s="23" t="inlineStr">
        <is>
          <t>efectivo</t>
        </is>
      </c>
    </row>
    <row r="729" hidden="1" customFormat="1" s="23">
      <c r="A729" s="38" t="n">
        <v>45855</v>
      </c>
      <c r="B729" s="23" t="inlineStr">
        <is>
          <t>Lucho Laura Nosu</t>
        </is>
      </c>
      <c r="C729" s="23" t="inlineStr">
        <is>
          <t>Bajaj OTF 59H</t>
        </is>
      </c>
      <c r="D729" s="23" t="inlineStr">
        <is>
          <t>OTF59H</t>
        </is>
      </c>
      <c r="H729" s="23" t="n">
        <v>240000</v>
      </c>
      <c r="I729" s="23" t="n">
        <v>240000</v>
      </c>
      <c r="J729" s="23" t="inlineStr">
        <is>
          <t>efectivo</t>
        </is>
      </c>
    </row>
    <row r="730" hidden="1" customFormat="1" s="23">
      <c r="A730" s="38" t="n">
        <v>45863</v>
      </c>
      <c r="B730" s="23" t="inlineStr">
        <is>
          <t>Lucho Laura Nosu</t>
        </is>
      </c>
      <c r="C730" s="23" t="inlineStr">
        <is>
          <t>Bajaj OTF 59H</t>
        </is>
      </c>
      <c r="D730" s="23" t="inlineStr">
        <is>
          <t>OTF59H</t>
        </is>
      </c>
      <c r="H730" s="23" t="n">
        <v>240000</v>
      </c>
      <c r="I730" s="23" t="n">
        <v>240000</v>
      </c>
      <c r="J730" s="23" t="inlineStr">
        <is>
          <t>efectivo</t>
        </is>
      </c>
    </row>
    <row r="731" hidden="1" customFormat="1" s="23">
      <c r="A731" s="38" t="n">
        <v>45871</v>
      </c>
      <c r="B731" s="23" t="inlineStr">
        <is>
          <t>Lucho Laura Nosu</t>
        </is>
      </c>
      <c r="C731" s="23" t="inlineStr">
        <is>
          <t>Bajaj OTF 59H</t>
        </is>
      </c>
      <c r="D731" s="23" t="inlineStr">
        <is>
          <t>OTF59H</t>
        </is>
      </c>
      <c r="H731" s="23" t="n">
        <v>240000</v>
      </c>
      <c r="I731" s="23" t="n">
        <v>240000</v>
      </c>
      <c r="J731" s="23" t="inlineStr">
        <is>
          <t>efectivo</t>
        </is>
      </c>
    </row>
    <row r="732" hidden="1" customFormat="1" s="23">
      <c r="A732" s="38" t="n">
        <v>45879</v>
      </c>
      <c r="B732" s="23" t="inlineStr">
        <is>
          <t>Lucho Laura Nosu</t>
        </is>
      </c>
      <c r="C732" s="23" t="inlineStr">
        <is>
          <t>Bajaj OTF 59H</t>
        </is>
      </c>
      <c r="D732" s="23" t="inlineStr">
        <is>
          <t>OTF59H</t>
        </is>
      </c>
      <c r="H732" s="23" t="n">
        <v>240000</v>
      </c>
      <c r="I732" s="23" t="n">
        <v>240000</v>
      </c>
      <c r="J732" s="23" t="inlineStr">
        <is>
          <t>efectivo</t>
        </is>
      </c>
    </row>
    <row r="733" hidden="1" customFormat="1" s="23">
      <c r="A733" s="38" t="n">
        <v>45887</v>
      </c>
      <c r="B733" s="23" t="inlineStr">
        <is>
          <t>Lucho Laura Nosu</t>
        </is>
      </c>
      <c r="C733" s="23" t="inlineStr">
        <is>
          <t>Bajaj OTF 59H</t>
        </is>
      </c>
      <c r="D733" s="23" t="inlineStr">
        <is>
          <t>OTF59H</t>
        </is>
      </c>
      <c r="H733" s="23" t="n">
        <v>240000</v>
      </c>
      <c r="I733" s="23" t="n">
        <v>240000</v>
      </c>
      <c r="J733" s="23" t="inlineStr">
        <is>
          <t>efectivo</t>
        </is>
      </c>
    </row>
    <row r="734" hidden="1" customFormat="1" s="23">
      <c r="A734" s="38" t="n">
        <v>45895</v>
      </c>
      <c r="B734" s="23" t="inlineStr">
        <is>
          <t>Lucho Laura Nosu</t>
        </is>
      </c>
      <c r="C734" s="23" t="inlineStr">
        <is>
          <t>Bajaj OTF 59H</t>
        </is>
      </c>
      <c r="D734" s="23" t="inlineStr">
        <is>
          <t>OTF59H</t>
        </is>
      </c>
      <c r="H734" s="23" t="n">
        <v>240000</v>
      </c>
      <c r="I734" s="23" t="n">
        <v>240000</v>
      </c>
      <c r="J734" s="23" t="inlineStr">
        <is>
          <t>efectivo</t>
        </is>
      </c>
    </row>
    <row r="735" hidden="1" customFormat="1" s="23">
      <c r="A735" s="38" t="n">
        <v>45903</v>
      </c>
      <c r="B735" s="23" t="inlineStr">
        <is>
          <t>Lucho Laura Nosu</t>
        </is>
      </c>
      <c r="C735" s="23" t="inlineStr">
        <is>
          <t>Bajaj OTF 59H</t>
        </is>
      </c>
      <c r="D735" s="23" t="inlineStr">
        <is>
          <t>OTF59H</t>
        </is>
      </c>
      <c r="H735" s="23" t="n">
        <v>240000</v>
      </c>
      <c r="I735" s="23" t="n">
        <v>240000</v>
      </c>
      <c r="J735" s="23" t="inlineStr">
        <is>
          <t>efectivo</t>
        </is>
      </c>
    </row>
    <row r="736" hidden="1" customFormat="1" s="23">
      <c r="A736" s="38" t="n">
        <v>45911</v>
      </c>
      <c r="B736" s="23" t="inlineStr">
        <is>
          <t>Lucho Laura Nosu</t>
        </is>
      </c>
      <c r="C736" s="23" t="inlineStr">
        <is>
          <t>Bajaj OTF 59H</t>
        </is>
      </c>
      <c r="D736" s="23" t="inlineStr">
        <is>
          <t>OTF59H</t>
        </is>
      </c>
      <c r="H736" s="23" t="n">
        <v>240000</v>
      </c>
      <c r="I736" s="23" t="n">
        <v>240000</v>
      </c>
      <c r="J736" s="23" t="inlineStr">
        <is>
          <t>efectivo</t>
        </is>
      </c>
    </row>
    <row r="737" hidden="1" customFormat="1" s="23">
      <c r="A737" s="38" t="n">
        <v>45919</v>
      </c>
      <c r="B737" s="23" t="inlineStr">
        <is>
          <t>Lucho Laura Nosu</t>
        </is>
      </c>
      <c r="C737" s="23" t="inlineStr">
        <is>
          <t>Bajaj OTF 59H</t>
        </is>
      </c>
      <c r="D737" s="23" t="inlineStr">
        <is>
          <t>OTF59H</t>
        </is>
      </c>
      <c r="H737" s="23" t="n">
        <v>240000</v>
      </c>
      <c r="I737" s="23" t="n">
        <v>240000</v>
      </c>
      <c r="J737" s="23" t="inlineStr">
        <is>
          <t>efectivo</t>
        </is>
      </c>
    </row>
    <row r="738" hidden="1" customFormat="1" s="23">
      <c r="A738" s="38" t="n">
        <v>45927</v>
      </c>
      <c r="B738" s="23" t="inlineStr">
        <is>
          <t>Lucho Laura Nosu</t>
        </is>
      </c>
      <c r="C738" s="23" t="inlineStr">
        <is>
          <t>Bajaj OTF 59H</t>
        </is>
      </c>
      <c r="D738" s="23" t="inlineStr">
        <is>
          <t>OTF59H</t>
        </is>
      </c>
      <c r="H738" s="23" t="n">
        <v>240000</v>
      </c>
      <c r="I738" s="23" t="n">
        <v>240000</v>
      </c>
      <c r="J738" s="23" t="inlineStr">
        <is>
          <t>efectivo</t>
        </is>
      </c>
    </row>
    <row r="739" hidden="1" customFormat="1" s="23">
      <c r="A739" s="38" t="n">
        <v>45935</v>
      </c>
      <c r="B739" s="23" t="inlineStr">
        <is>
          <t>Lucho Laura Nosu</t>
        </is>
      </c>
      <c r="C739" s="23" t="inlineStr">
        <is>
          <t>Bajaj OTF 59H</t>
        </is>
      </c>
      <c r="D739" s="23" t="inlineStr">
        <is>
          <t>OTF59H</t>
        </is>
      </c>
      <c r="H739" s="23" t="n">
        <v>240000</v>
      </c>
      <c r="I739" s="23" t="n">
        <v>240000</v>
      </c>
      <c r="J739" s="23" t="inlineStr">
        <is>
          <t>efectivo</t>
        </is>
      </c>
    </row>
    <row r="740" hidden="1" customFormat="1" s="23">
      <c r="A740" s="38" t="n">
        <v>45944</v>
      </c>
      <c r="B740" s="23" t="inlineStr">
        <is>
          <t>Lucho Laura Nosu</t>
        </is>
      </c>
      <c r="C740" s="23" t="inlineStr">
        <is>
          <t>Bajaj OTF 59H</t>
        </is>
      </c>
      <c r="D740" s="23" t="inlineStr">
        <is>
          <t>OTF59H</t>
        </is>
      </c>
      <c r="H740" s="23" t="n">
        <v>240000</v>
      </c>
      <c r="I740" s="23" t="n">
        <v>240000</v>
      </c>
      <c r="J740" s="23" t="inlineStr">
        <is>
          <t>efectivo</t>
        </is>
      </c>
    </row>
    <row r="741" hidden="1" customFormat="1" s="23">
      <c r="A741" s="38" t="n">
        <v>45952</v>
      </c>
      <c r="B741" s="23" t="inlineStr">
        <is>
          <t>Lucho Laura Nosu</t>
        </is>
      </c>
      <c r="C741" s="23" t="inlineStr">
        <is>
          <t>Bajaj OTF 59H</t>
        </is>
      </c>
      <c r="D741" s="23" t="inlineStr">
        <is>
          <t>OTF59H</t>
        </is>
      </c>
      <c r="H741" s="23" t="n">
        <v>240000</v>
      </c>
      <c r="I741" s="23" t="n">
        <v>240000</v>
      </c>
      <c r="J741" s="23" t="inlineStr">
        <is>
          <t>efectivo</t>
        </is>
      </c>
    </row>
    <row r="742" hidden="1" customFormat="1" s="23">
      <c r="A742" s="38" t="n">
        <v>45960</v>
      </c>
      <c r="B742" s="23" t="inlineStr">
        <is>
          <t>Lucho Laura Nosu</t>
        </is>
      </c>
      <c r="C742" s="23" t="inlineStr">
        <is>
          <t>Bajaj OTF 59H</t>
        </is>
      </c>
      <c r="D742" s="23" t="inlineStr">
        <is>
          <t>OTF59H</t>
        </is>
      </c>
      <c r="H742" s="23" t="n">
        <v>240000</v>
      </c>
      <c r="I742" s="23" t="n">
        <v>240000</v>
      </c>
      <c r="J742" s="23" t="inlineStr">
        <is>
          <t>efectivo</t>
        </is>
      </c>
    </row>
    <row r="743" hidden="1" customFormat="1" s="23">
      <c r="A743" s="38" t="n">
        <v>45968</v>
      </c>
      <c r="B743" s="23" t="inlineStr">
        <is>
          <t>Lucho Laura Nosu</t>
        </is>
      </c>
      <c r="C743" s="23" t="inlineStr">
        <is>
          <t>Bajaj OTF 59H</t>
        </is>
      </c>
      <c r="D743" s="23" t="inlineStr">
        <is>
          <t>OTF59H</t>
        </is>
      </c>
      <c r="H743" s="23" t="n">
        <v>240000</v>
      </c>
      <c r="I743" s="23" t="n">
        <v>240000</v>
      </c>
      <c r="J743" s="23" t="inlineStr">
        <is>
          <t>efectivo</t>
        </is>
      </c>
    </row>
    <row r="744" hidden="1" customFormat="1" s="23">
      <c r="A744" s="38" t="n">
        <v>45976</v>
      </c>
      <c r="B744" s="23" t="inlineStr">
        <is>
          <t>Lucho Laura Nosu</t>
        </is>
      </c>
      <c r="C744" s="23" t="inlineStr">
        <is>
          <t>Bajaj OTF 59H</t>
        </is>
      </c>
      <c r="D744" s="23" t="inlineStr">
        <is>
          <t>OTF59H</t>
        </is>
      </c>
      <c r="H744" s="23" t="n">
        <v>240000</v>
      </c>
      <c r="I744" s="23" t="n">
        <v>240000</v>
      </c>
      <c r="J744" s="23" t="inlineStr">
        <is>
          <t>efectivo</t>
        </is>
      </c>
    </row>
    <row r="745" hidden="1" customFormat="1" s="23">
      <c r="A745" s="38" t="n">
        <v>45984</v>
      </c>
      <c r="B745" s="23" t="inlineStr">
        <is>
          <t>Lucho Laura Nosu</t>
        </is>
      </c>
      <c r="C745" s="23" t="inlineStr">
        <is>
          <t>Bajaj OTF 59H</t>
        </is>
      </c>
      <c r="D745" s="23" t="inlineStr">
        <is>
          <t>OTF59H</t>
        </is>
      </c>
      <c r="H745" s="23" t="n">
        <v>240000</v>
      </c>
      <c r="I745" s="23" t="n">
        <v>240000</v>
      </c>
      <c r="J745" s="23" t="inlineStr">
        <is>
          <t>efectivo</t>
        </is>
      </c>
    </row>
    <row r="746" hidden="1" customFormat="1" s="23">
      <c r="A746" s="38" t="n">
        <v>45991</v>
      </c>
      <c r="B746" s="23" t="inlineStr">
        <is>
          <t>Lucho Laura Nosu</t>
        </is>
      </c>
      <c r="C746" s="23" t="inlineStr">
        <is>
          <t>Bajaj OTF 59H</t>
        </is>
      </c>
      <c r="D746" s="23" t="inlineStr">
        <is>
          <t>OTF59H</t>
        </is>
      </c>
      <c r="H746" s="23" t="n">
        <v>240000</v>
      </c>
      <c r="I746" s="23" t="n">
        <v>240000</v>
      </c>
      <c r="J746" s="23" t="inlineStr">
        <is>
          <t>efectivo</t>
        </is>
      </c>
    </row>
    <row r="747" hidden="1" customFormat="1" s="23">
      <c r="A747" s="38" t="n">
        <v>46004</v>
      </c>
      <c r="B747" s="23" t="inlineStr">
        <is>
          <t>Lucho Laura Nosu</t>
        </is>
      </c>
      <c r="C747" s="23" t="inlineStr">
        <is>
          <t>Bajaj OTF 59H</t>
        </is>
      </c>
      <c r="D747" s="23" t="inlineStr">
        <is>
          <t>OTF59H</t>
        </is>
      </c>
      <c r="H747" s="23" t="n">
        <v>240000</v>
      </c>
      <c r="I747" s="23" t="n">
        <v>240000</v>
      </c>
      <c r="J747" s="23" t="inlineStr">
        <is>
          <t>efectivo</t>
        </is>
      </c>
    </row>
    <row r="748" hidden="1" customFormat="1" s="23">
      <c r="A748" s="38" t="n">
        <v>46009</v>
      </c>
      <c r="B748" s="23" t="inlineStr">
        <is>
          <t>Lucho Laura Nosu</t>
        </is>
      </c>
      <c r="C748" s="23" t="inlineStr">
        <is>
          <t>Bajaj OTF 59H</t>
        </is>
      </c>
      <c r="D748" s="23" t="inlineStr">
        <is>
          <t>OTF59H</t>
        </is>
      </c>
      <c r="H748" s="23" t="n">
        <v>240000</v>
      </c>
      <c r="I748" s="23" t="n">
        <v>240000</v>
      </c>
      <c r="J748" s="23" t="inlineStr">
        <is>
          <t>efectivo</t>
        </is>
      </c>
    </row>
    <row r="749" hidden="1" customFormat="1" s="23">
      <c r="A749" s="38" t="n">
        <v>46016</v>
      </c>
      <c r="B749" s="23" t="inlineStr">
        <is>
          <t>Lucho Laura Nosu</t>
        </is>
      </c>
      <c r="C749" s="23" t="inlineStr">
        <is>
          <t>Bajaj OTF 59H</t>
        </is>
      </c>
      <c r="D749" s="23" t="inlineStr">
        <is>
          <t>OTF59H</t>
        </is>
      </c>
      <c r="H749" s="23" t="n">
        <v>240000</v>
      </c>
      <c r="I749" s="23" t="n">
        <v>240000</v>
      </c>
      <c r="J749" s="23" t="inlineStr">
        <is>
          <t>efectivo</t>
        </is>
      </c>
    </row>
    <row r="750" hidden="1" customFormat="1" s="23">
      <c r="A750" s="38" t="n">
        <v>46030</v>
      </c>
      <c r="B750" s="23" t="inlineStr">
        <is>
          <t>Lucho Laura Nosu</t>
        </is>
      </c>
      <c r="C750" s="23" t="inlineStr">
        <is>
          <t>Bajaj OTF 59H</t>
        </is>
      </c>
      <c r="D750" s="23" t="inlineStr">
        <is>
          <t>OTF59H</t>
        </is>
      </c>
      <c r="H750" s="23" t="n">
        <v>240000</v>
      </c>
      <c r="I750" s="23" t="n">
        <v>240000</v>
      </c>
      <c r="J750" s="23" t="inlineStr">
        <is>
          <t>efectivo</t>
        </is>
      </c>
    </row>
    <row r="751" hidden="1" customFormat="1" s="23">
      <c r="A751" s="38" t="n">
        <v>46039</v>
      </c>
      <c r="B751" s="23" t="inlineStr">
        <is>
          <t>Lucho Laura Nosu</t>
        </is>
      </c>
      <c r="C751" s="23" t="inlineStr">
        <is>
          <t>Bajaj OTF 59H</t>
        </is>
      </c>
      <c r="D751" s="23" t="inlineStr">
        <is>
          <t>OTF59H</t>
        </is>
      </c>
      <c r="H751" s="23" t="n">
        <v>240000</v>
      </c>
      <c r="I751" s="23" t="n">
        <v>240000</v>
      </c>
      <c r="J751" s="23" t="inlineStr">
        <is>
          <t>efectivo</t>
        </is>
      </c>
    </row>
    <row r="752" hidden="1" customFormat="1" s="23">
      <c r="A752" s="38" t="n">
        <v>46047</v>
      </c>
      <c r="B752" s="23" t="inlineStr">
        <is>
          <t>Lucho Laura Nosu</t>
        </is>
      </c>
      <c r="C752" s="23" t="inlineStr">
        <is>
          <t>Bajaj OTF 59H</t>
        </is>
      </c>
      <c r="D752" s="23" t="inlineStr">
        <is>
          <t>OTF59H</t>
        </is>
      </c>
      <c r="H752" s="23" t="n">
        <v>240000</v>
      </c>
      <c r="I752" s="23" t="n">
        <v>240000</v>
      </c>
      <c r="J752" s="23" t="inlineStr">
        <is>
          <t>efectivo</t>
        </is>
      </c>
    </row>
    <row r="753" hidden="1" customFormat="1" s="23">
      <c r="A753" s="38" t="n">
        <v>46057</v>
      </c>
      <c r="B753" s="23" t="inlineStr">
        <is>
          <t>Lucho Laura Nosu</t>
        </is>
      </c>
      <c r="C753" s="23" t="inlineStr">
        <is>
          <t>Bajaj OTF 59H</t>
        </is>
      </c>
      <c r="D753" s="23" t="inlineStr">
        <is>
          <t>OTF59H</t>
        </is>
      </c>
      <c r="H753" s="23" t="n">
        <v>240000</v>
      </c>
      <c r="I753" s="23" t="n">
        <v>240000</v>
      </c>
      <c r="J753" s="23" t="inlineStr">
        <is>
          <t>efectivo</t>
        </is>
      </c>
    </row>
    <row r="754" hidden="1" customFormat="1" s="23">
      <c r="A754" s="38" t="n">
        <v>46065</v>
      </c>
      <c r="B754" s="23" t="inlineStr">
        <is>
          <t>Lucho Laura Nosu</t>
        </is>
      </c>
      <c r="C754" s="23" t="inlineStr">
        <is>
          <t>Bajaj OTF 59H</t>
        </is>
      </c>
      <c r="D754" s="23" t="inlineStr">
        <is>
          <t>OTF59H</t>
        </is>
      </c>
      <c r="H754" s="23" t="n">
        <v>240000</v>
      </c>
      <c r="I754" s="23" t="n">
        <v>240000</v>
      </c>
      <c r="J754" s="23" t="inlineStr">
        <is>
          <t>efectivo</t>
        </is>
      </c>
    </row>
    <row r="755" hidden="1" customFormat="1" s="23">
      <c r="A755" s="38" t="n">
        <v>46073</v>
      </c>
      <c r="B755" s="23" t="inlineStr">
        <is>
          <t>Lucho Laura Nosu</t>
        </is>
      </c>
      <c r="C755" s="23" t="inlineStr">
        <is>
          <t>Bajaj OTF 59H</t>
        </is>
      </c>
      <c r="D755" s="23" t="inlineStr">
        <is>
          <t>OTF59H</t>
        </is>
      </c>
      <c r="H755" s="23" t="n">
        <v>240000</v>
      </c>
      <c r="I755" s="23" t="n">
        <v>240000</v>
      </c>
      <c r="J755" s="23" t="inlineStr">
        <is>
          <t>efectivo</t>
        </is>
      </c>
    </row>
    <row r="756" hidden="1" customFormat="1" s="23">
      <c r="A756" s="38" t="n">
        <v>46081</v>
      </c>
      <c r="B756" s="23" t="inlineStr">
        <is>
          <t>Lucho Laura Nosu</t>
        </is>
      </c>
      <c r="C756" s="23" t="inlineStr">
        <is>
          <t>Bajaj OTF 59H</t>
        </is>
      </c>
      <c r="D756" s="23" t="inlineStr">
        <is>
          <t>OTF59H</t>
        </is>
      </c>
      <c r="H756" s="23" t="n">
        <v>240000</v>
      </c>
      <c r="I756" s="23" t="n">
        <v>240000</v>
      </c>
      <c r="J756" s="23" t="inlineStr">
        <is>
          <t>efectivo</t>
        </is>
      </c>
    </row>
    <row r="757" hidden="1" customFormat="1" s="23">
      <c r="A757" s="38" t="n">
        <v>46089</v>
      </c>
      <c r="B757" s="23" t="inlineStr">
        <is>
          <t>Lucho Laura Nosu</t>
        </is>
      </c>
      <c r="C757" s="23" t="inlineStr">
        <is>
          <t>Bajaj OTF 59H</t>
        </is>
      </c>
      <c r="D757" s="23" t="inlineStr">
        <is>
          <t>OTF59H</t>
        </is>
      </c>
      <c r="H757" s="23" t="n">
        <v>240000</v>
      </c>
      <c r="I757" s="23" t="n">
        <v>240000</v>
      </c>
      <c r="J757" s="23" t="inlineStr">
        <is>
          <t>efectivo</t>
        </is>
      </c>
    </row>
    <row r="758" hidden="1" customFormat="1" s="23">
      <c r="A758" s="38" t="n">
        <v>46098</v>
      </c>
      <c r="B758" s="23" t="inlineStr">
        <is>
          <t>Lucho Laura Nosu</t>
        </is>
      </c>
      <c r="C758" s="23" t="inlineStr">
        <is>
          <t>Bajaj OTF 59H</t>
        </is>
      </c>
      <c r="D758" s="23" t="inlineStr">
        <is>
          <t>OTF59H</t>
        </is>
      </c>
      <c r="H758" s="23" t="n">
        <v>240000</v>
      </c>
      <c r="I758" s="23" t="n">
        <v>240000</v>
      </c>
      <c r="J758" s="23" t="inlineStr">
        <is>
          <t>efectivo</t>
        </is>
      </c>
    </row>
    <row r="759" hidden="1" customFormat="1" s="23">
      <c r="A759" s="38" t="n">
        <v>46107</v>
      </c>
      <c r="B759" s="23" t="inlineStr">
        <is>
          <t>Lucho Laura Nosu</t>
        </is>
      </c>
      <c r="C759" s="23" t="inlineStr">
        <is>
          <t>Bajaj OTF 59H</t>
        </is>
      </c>
      <c r="D759" s="23" t="inlineStr">
        <is>
          <t>OTF59H</t>
        </is>
      </c>
      <c r="H759" s="23" t="n">
        <v>240000</v>
      </c>
      <c r="I759" s="23" t="n">
        <v>240000</v>
      </c>
      <c r="J759" s="23" t="inlineStr">
        <is>
          <t>efectivo</t>
        </is>
      </c>
    </row>
    <row r="760" hidden="1" customFormat="1" s="23">
      <c r="A760" s="38" t="n">
        <v>46116</v>
      </c>
      <c r="B760" s="23" t="inlineStr">
        <is>
          <t>Lucho Laura Nosu</t>
        </is>
      </c>
      <c r="C760" s="23" t="inlineStr">
        <is>
          <t>Bajaj OTF 59H</t>
        </is>
      </c>
      <c r="D760" s="23" t="inlineStr">
        <is>
          <t>OTF59H</t>
        </is>
      </c>
      <c r="H760" s="23" t="n">
        <v>240000</v>
      </c>
      <c r="I760" s="23" t="n">
        <v>240000</v>
      </c>
      <c r="J760" s="23" t="inlineStr">
        <is>
          <t>efectivo</t>
        </is>
      </c>
    </row>
    <row r="761" hidden="1" customFormat="1" s="23">
      <c r="A761" s="38" t="n">
        <v>46124</v>
      </c>
      <c r="B761" s="23" t="inlineStr">
        <is>
          <t>Lucho Laura Nosu</t>
        </is>
      </c>
      <c r="C761" s="23" t="inlineStr">
        <is>
          <t>Bajaj OTF 59H</t>
        </is>
      </c>
      <c r="D761" s="23" t="inlineStr">
        <is>
          <t>OTF59H</t>
        </is>
      </c>
      <c r="H761" s="23" t="n">
        <v>240000</v>
      </c>
      <c r="I761" s="23" t="n">
        <v>240000</v>
      </c>
      <c r="J761" s="23" t="inlineStr">
        <is>
          <t>efectivo</t>
        </is>
      </c>
    </row>
    <row r="762" hidden="1" customFormat="1" s="23">
      <c r="A762" s="38" t="n">
        <v>46132</v>
      </c>
      <c r="B762" s="23" t="inlineStr">
        <is>
          <t>Lucho Laura Nosu</t>
        </is>
      </c>
      <c r="C762" s="23" t="inlineStr">
        <is>
          <t>Bajaj OTF 59H</t>
        </is>
      </c>
      <c r="D762" s="23" t="inlineStr">
        <is>
          <t>OTF59H</t>
        </is>
      </c>
      <c r="H762" s="23" t="n">
        <v>240000</v>
      </c>
      <c r="I762" s="23" t="n">
        <v>240000</v>
      </c>
      <c r="J762" s="23" t="inlineStr">
        <is>
          <t>efectivo</t>
        </is>
      </c>
    </row>
    <row r="763" hidden="1" customFormat="1" s="23">
      <c r="A763" s="38" t="n">
        <v>46140</v>
      </c>
      <c r="B763" s="23" t="inlineStr">
        <is>
          <t>Lucho Laura Nosu</t>
        </is>
      </c>
      <c r="C763" s="23" t="inlineStr">
        <is>
          <t>Bajaj OTF 59H</t>
        </is>
      </c>
      <c r="D763" s="23" t="inlineStr">
        <is>
          <t>OTF59H</t>
        </is>
      </c>
      <c r="H763" s="23" t="n">
        <v>240000</v>
      </c>
      <c r="I763" s="23" t="n">
        <v>240000</v>
      </c>
      <c r="J763" s="23" t="inlineStr">
        <is>
          <t>efectivo</t>
        </is>
      </c>
    </row>
    <row r="764" hidden="1" customFormat="1" s="23">
      <c r="A764" s="38" t="n">
        <v>46148</v>
      </c>
      <c r="B764" s="23" t="inlineStr">
        <is>
          <t>Lucho Laura Nosu</t>
        </is>
      </c>
      <c r="C764" s="23" t="inlineStr">
        <is>
          <t>Bajaj OTF 59H</t>
        </is>
      </c>
      <c r="D764" s="23" t="inlineStr">
        <is>
          <t>OTF59H</t>
        </is>
      </c>
      <c r="H764" s="23" t="n">
        <v>240000</v>
      </c>
      <c r="I764" s="23" t="n">
        <v>240000</v>
      </c>
      <c r="J764" s="23" t="inlineStr">
        <is>
          <t>efectivo</t>
        </is>
      </c>
    </row>
    <row r="765" hidden="1" customFormat="1" s="23">
      <c r="A765" s="38" t="n">
        <v>46157</v>
      </c>
      <c r="B765" s="23" t="inlineStr">
        <is>
          <t>Lucho Laura Nosu</t>
        </is>
      </c>
      <c r="C765" s="23" t="inlineStr">
        <is>
          <t>Bajaj OTF 59H</t>
        </is>
      </c>
      <c r="D765" s="23" t="inlineStr">
        <is>
          <t>OTF59H</t>
        </is>
      </c>
      <c r="H765" s="23" t="n">
        <v>240000</v>
      </c>
      <c r="I765" s="23" t="n">
        <v>240000</v>
      </c>
      <c r="J765" s="23" t="inlineStr">
        <is>
          <t>efectivo</t>
        </is>
      </c>
    </row>
    <row r="766" hidden="1" customFormat="1" s="23">
      <c r="A766" s="38" t="n">
        <v>46165</v>
      </c>
      <c r="B766" s="23" t="inlineStr">
        <is>
          <t>Lucho Laura Nosu</t>
        </is>
      </c>
      <c r="C766" s="23" t="inlineStr">
        <is>
          <t>Bajaj OTF 59H</t>
        </is>
      </c>
      <c r="D766" s="23" t="inlineStr">
        <is>
          <t>OTF59H</t>
        </is>
      </c>
      <c r="H766" s="23" t="n">
        <v>240000</v>
      </c>
      <c r="I766" s="23" t="n">
        <v>240000</v>
      </c>
      <c r="J766" s="23" t="inlineStr">
        <is>
          <t>efectivo</t>
        </is>
      </c>
    </row>
    <row r="767" hidden="1" customFormat="1" s="23">
      <c r="A767" s="38" t="n">
        <v>46173</v>
      </c>
      <c r="B767" s="23" t="inlineStr">
        <is>
          <t>Lucho Laura Nosu</t>
        </is>
      </c>
      <c r="C767" s="23" t="inlineStr">
        <is>
          <t>Bajaj OTF 59H</t>
        </is>
      </c>
      <c r="D767" s="23" t="inlineStr">
        <is>
          <t>OTF59H</t>
        </is>
      </c>
      <c r="H767" s="23" t="n">
        <v>240000</v>
      </c>
      <c r="I767" s="23" t="n">
        <v>240000</v>
      </c>
      <c r="J767" s="23" t="inlineStr">
        <is>
          <t>efectivo</t>
        </is>
      </c>
    </row>
    <row r="768" hidden="1" customFormat="1" s="23">
      <c r="A768" s="38" t="n">
        <v>46182</v>
      </c>
      <c r="B768" s="23" t="inlineStr">
        <is>
          <t>Lucho Laura Nosu</t>
        </is>
      </c>
      <c r="C768" s="23" t="inlineStr">
        <is>
          <t>Bajaj OTF 59H</t>
        </is>
      </c>
      <c r="D768" s="23" t="inlineStr">
        <is>
          <t>OTF59H</t>
        </is>
      </c>
      <c r="H768" s="23" t="n">
        <v>240000</v>
      </c>
      <c r="I768" s="23" t="n">
        <v>240000</v>
      </c>
      <c r="J768" s="23" t="inlineStr">
        <is>
          <t>efectivo</t>
        </is>
      </c>
    </row>
    <row r="769" hidden="1" customFormat="1" s="23">
      <c r="A769" s="38" t="n">
        <v>46191</v>
      </c>
      <c r="B769" s="23" t="inlineStr">
        <is>
          <t>Lucho Laura Nosu</t>
        </is>
      </c>
      <c r="C769" s="23" t="inlineStr">
        <is>
          <t>Bajaj OTF 59H</t>
        </is>
      </c>
      <c r="D769" s="23" t="inlineStr">
        <is>
          <t>OTF59H</t>
        </is>
      </c>
      <c r="H769" s="23" t="n">
        <v>240000</v>
      </c>
      <c r="I769" s="23" t="n">
        <v>240000</v>
      </c>
      <c r="J769" s="23" t="inlineStr">
        <is>
          <t>efectivo</t>
        </is>
      </c>
    </row>
    <row r="770" hidden="1" customFormat="1" s="23">
      <c r="A770" s="38" t="n">
        <v>46200</v>
      </c>
      <c r="B770" s="23" t="inlineStr">
        <is>
          <t>Lucho Laura Nosu</t>
        </is>
      </c>
      <c r="C770" s="23" t="inlineStr">
        <is>
          <t>Bajaj OTF 59H</t>
        </is>
      </c>
      <c r="D770" s="23" t="inlineStr">
        <is>
          <t>OTF59H</t>
        </is>
      </c>
      <c r="H770" s="23" t="n">
        <v>240000</v>
      </c>
      <c r="I770" s="23" t="n">
        <v>240000</v>
      </c>
      <c r="J770" s="23" t="inlineStr">
        <is>
          <t>efectivo</t>
        </is>
      </c>
    </row>
    <row r="771" hidden="1" customFormat="1" s="23">
      <c r="A771" s="38" t="n">
        <v>46208</v>
      </c>
      <c r="B771" s="23" t="inlineStr">
        <is>
          <t>Lucho Laura Nosu</t>
        </is>
      </c>
      <c r="C771" s="23" t="inlineStr">
        <is>
          <t>Bajaj OTF 59H</t>
        </is>
      </c>
      <c r="D771" s="23" t="inlineStr">
        <is>
          <t>OTF59H</t>
        </is>
      </c>
      <c r="H771" s="23" t="n">
        <v>240000</v>
      </c>
      <c r="I771" s="23" t="n">
        <v>240000</v>
      </c>
      <c r="J771" s="23" t="inlineStr">
        <is>
          <t>efectivo</t>
        </is>
      </c>
    </row>
    <row r="772" hidden="1" customFormat="1" s="23">
      <c r="A772" s="38" t="n">
        <v>46216</v>
      </c>
      <c r="B772" s="23" t="inlineStr">
        <is>
          <t>Lucho Laura Nosu</t>
        </is>
      </c>
      <c r="C772" s="23" t="inlineStr">
        <is>
          <t>Bajaj OTF 59H</t>
        </is>
      </c>
      <c r="D772" s="23" t="inlineStr">
        <is>
          <t>OTF59H</t>
        </is>
      </c>
      <c r="H772" s="23" t="n">
        <v>240000</v>
      </c>
      <c r="I772" s="23" t="n">
        <v>240000</v>
      </c>
      <c r="J772" s="23" t="inlineStr">
        <is>
          <t>efectivo</t>
        </is>
      </c>
    </row>
    <row r="773" hidden="1" customFormat="1" s="23">
      <c r="A773" s="38" t="n">
        <v>46224</v>
      </c>
      <c r="B773" s="23" t="inlineStr">
        <is>
          <t>Lucho Laura Nosu</t>
        </is>
      </c>
      <c r="C773" s="23" t="inlineStr">
        <is>
          <t>Bajaj OTF 59H</t>
        </is>
      </c>
      <c r="D773" s="23" t="inlineStr">
        <is>
          <t>OTF59H</t>
        </is>
      </c>
      <c r="H773" s="23" t="n">
        <v>240000</v>
      </c>
      <c r="I773" s="23" t="n">
        <v>240000</v>
      </c>
      <c r="J773" s="23" t="inlineStr">
        <is>
          <t>efectivo</t>
        </is>
      </c>
    </row>
    <row r="774" hidden="1" customFormat="1" s="23">
      <c r="A774" s="38" t="n">
        <v>46070</v>
      </c>
      <c r="B774" s="23" t="inlineStr">
        <is>
          <t>Edinson El Flaco</t>
        </is>
      </c>
      <c r="C774" s="23" t="inlineStr">
        <is>
          <t>Bajaj OTR 29H</t>
        </is>
      </c>
      <c r="D774" s="23" t="inlineStr">
        <is>
          <t>OTR29H</t>
        </is>
      </c>
      <c r="H774" s="23" t="n">
        <v>240000</v>
      </c>
      <c r="I774" s="23" t="n">
        <v>240000</v>
      </c>
      <c r="J774" s="23" t="inlineStr">
        <is>
          <t>efectivo</t>
        </is>
      </c>
    </row>
    <row r="775" hidden="1" customFormat="1" s="23">
      <c r="A775" s="38" t="n">
        <v>46077</v>
      </c>
      <c r="B775" s="23" t="inlineStr">
        <is>
          <t>Edinson El Flaco</t>
        </is>
      </c>
      <c r="C775" s="23" t="inlineStr">
        <is>
          <t>Bajaj OTR 29H</t>
        </is>
      </c>
      <c r="D775" s="23" t="inlineStr">
        <is>
          <t>OTR29H</t>
        </is>
      </c>
      <c r="H775" s="23" t="n">
        <v>240000</v>
      </c>
      <c r="I775" s="23" t="n">
        <v>240000</v>
      </c>
      <c r="J775" s="23" t="inlineStr">
        <is>
          <t>efectivo</t>
        </is>
      </c>
    </row>
    <row r="776" hidden="1" customFormat="1" s="23">
      <c r="A776" s="38" t="n">
        <v>46084</v>
      </c>
      <c r="B776" s="23" t="inlineStr">
        <is>
          <t>Edinson El Flaco</t>
        </is>
      </c>
      <c r="C776" s="23" t="inlineStr">
        <is>
          <t>Bajaj OTR 29H</t>
        </is>
      </c>
      <c r="D776" s="23" t="inlineStr">
        <is>
          <t>OTR29H</t>
        </is>
      </c>
      <c r="H776" s="23" t="n">
        <v>240000</v>
      </c>
      <c r="I776" s="23" t="n">
        <v>240000</v>
      </c>
      <c r="J776" s="23" t="inlineStr">
        <is>
          <t>efectivo</t>
        </is>
      </c>
    </row>
    <row r="777" hidden="1" customFormat="1" s="23">
      <c r="A777" s="38" t="n">
        <v>46091</v>
      </c>
      <c r="B777" s="23" t="inlineStr">
        <is>
          <t>Edinson El Flaco</t>
        </is>
      </c>
      <c r="C777" s="23" t="inlineStr">
        <is>
          <t>Bajaj OTR 29H</t>
        </is>
      </c>
      <c r="D777" s="23" t="inlineStr">
        <is>
          <t>OTR29H</t>
        </is>
      </c>
      <c r="H777" s="23" t="n">
        <v>240000</v>
      </c>
      <c r="I777" s="23" t="n">
        <v>240000</v>
      </c>
      <c r="J777" s="23" t="inlineStr">
        <is>
          <t>efectivo</t>
        </is>
      </c>
    </row>
    <row r="778" hidden="1" customFormat="1" s="23">
      <c r="A778" s="38" t="n">
        <v>46098</v>
      </c>
      <c r="B778" s="23" t="inlineStr">
        <is>
          <t>Edinson El Flaco</t>
        </is>
      </c>
      <c r="C778" s="23" t="inlineStr">
        <is>
          <t>Bajaj OTR 29H</t>
        </is>
      </c>
      <c r="D778" s="23" t="inlineStr">
        <is>
          <t>OTR29H</t>
        </is>
      </c>
      <c r="H778" s="23" t="n">
        <v>240000</v>
      </c>
      <c r="I778" s="23" t="n">
        <v>240000</v>
      </c>
      <c r="J778" s="23" t="inlineStr">
        <is>
          <t>efectivo</t>
        </is>
      </c>
    </row>
    <row r="779" hidden="1" customFormat="1" s="23">
      <c r="A779" s="38" t="n">
        <v>46105</v>
      </c>
      <c r="B779" s="23" t="inlineStr">
        <is>
          <t>Edinson El Flaco</t>
        </is>
      </c>
      <c r="C779" s="23" t="inlineStr">
        <is>
          <t>Bajaj OTR 29H</t>
        </is>
      </c>
      <c r="D779" s="23" t="inlineStr">
        <is>
          <t>OTR29H</t>
        </is>
      </c>
      <c r="H779" s="23" t="n">
        <v>240000</v>
      </c>
      <c r="I779" s="23" t="n">
        <v>240000</v>
      </c>
      <c r="J779" s="23" t="inlineStr">
        <is>
          <t>efectivo</t>
        </is>
      </c>
    </row>
    <row r="780" hidden="1" customFormat="1" s="23">
      <c r="A780" s="38" t="n">
        <v>46113</v>
      </c>
      <c r="B780" s="23" t="inlineStr">
        <is>
          <t>Edinson El Flaco</t>
        </is>
      </c>
      <c r="C780" s="23" t="inlineStr">
        <is>
          <t>Bajaj OTR 29H</t>
        </is>
      </c>
      <c r="D780" s="23" t="inlineStr">
        <is>
          <t>OTR29H</t>
        </is>
      </c>
      <c r="H780" s="23" t="n">
        <v>240000</v>
      </c>
      <c r="I780" s="23" t="n">
        <v>240000</v>
      </c>
      <c r="J780" s="23" t="inlineStr">
        <is>
          <t>efectivo</t>
        </is>
      </c>
    </row>
    <row r="781" hidden="1" customFormat="1" s="23">
      <c r="A781" s="38" t="n">
        <v>46120</v>
      </c>
      <c r="B781" s="23" t="inlineStr">
        <is>
          <t>Edinson El Flaco</t>
        </is>
      </c>
      <c r="C781" s="23" t="inlineStr">
        <is>
          <t>Bajaj OTR 29H</t>
        </is>
      </c>
      <c r="D781" s="23" t="inlineStr">
        <is>
          <t>OTR29H</t>
        </is>
      </c>
      <c r="H781" s="23" t="n">
        <v>240000</v>
      </c>
      <c r="I781" s="23" t="n">
        <v>240000</v>
      </c>
      <c r="J781" s="23" t="inlineStr">
        <is>
          <t>efectivo</t>
        </is>
      </c>
    </row>
    <row r="782" hidden="1" customFormat="1" s="23">
      <c r="A782" s="38" t="n">
        <v>46128</v>
      </c>
      <c r="B782" s="23" t="inlineStr">
        <is>
          <t>Edinson El Flaco</t>
        </is>
      </c>
      <c r="C782" s="23" t="inlineStr">
        <is>
          <t>Bajaj OTR 29H</t>
        </is>
      </c>
      <c r="D782" s="23" t="inlineStr">
        <is>
          <t>OTR29H</t>
        </is>
      </c>
      <c r="H782" s="23" t="n">
        <v>240000</v>
      </c>
      <c r="I782" s="23" t="n">
        <v>240000</v>
      </c>
      <c r="J782" s="23" t="inlineStr">
        <is>
          <t>efectivo</t>
        </is>
      </c>
    </row>
    <row r="783" hidden="1" customFormat="1" s="23">
      <c r="A783" s="38" t="n">
        <v>46137</v>
      </c>
      <c r="B783" s="23" t="inlineStr">
        <is>
          <t>Edinson El Flaco</t>
        </is>
      </c>
      <c r="C783" s="23" t="inlineStr">
        <is>
          <t>Bajaj OTR 29H</t>
        </is>
      </c>
      <c r="D783" s="23" t="inlineStr">
        <is>
          <t>OTR29H</t>
        </is>
      </c>
      <c r="H783" s="23" t="n">
        <v>240000</v>
      </c>
      <c r="I783" s="23" t="n">
        <v>240000</v>
      </c>
      <c r="J783" s="23" t="inlineStr">
        <is>
          <t>efectivo</t>
        </is>
      </c>
    </row>
    <row r="784" hidden="1" customFormat="1" s="23">
      <c r="A784" s="38" t="n">
        <v>46145</v>
      </c>
      <c r="B784" s="23" t="inlineStr">
        <is>
          <t>Edinson El Flaco</t>
        </is>
      </c>
      <c r="C784" s="23" t="inlineStr">
        <is>
          <t>Bajaj OTR 29H</t>
        </is>
      </c>
      <c r="D784" s="23" t="inlineStr">
        <is>
          <t>OTR29H</t>
        </is>
      </c>
      <c r="H784" s="23" t="n">
        <v>240000</v>
      </c>
      <c r="I784" s="23" t="n">
        <v>240000</v>
      </c>
      <c r="J784" s="23" t="inlineStr">
        <is>
          <t>efectivo</t>
        </is>
      </c>
    </row>
    <row r="785" hidden="1" customFormat="1" s="23">
      <c r="A785" s="38" t="n">
        <v>46154</v>
      </c>
      <c r="B785" s="23" t="inlineStr">
        <is>
          <t>Edinson El Flaco</t>
        </is>
      </c>
      <c r="C785" s="23" t="inlineStr">
        <is>
          <t>Bajaj OTR 29H</t>
        </is>
      </c>
      <c r="D785" s="23" t="inlineStr">
        <is>
          <t>OTR29H</t>
        </is>
      </c>
      <c r="H785" s="23" t="n">
        <v>240000</v>
      </c>
      <c r="I785" s="23" t="n">
        <v>240000</v>
      </c>
      <c r="J785" s="23" t="inlineStr">
        <is>
          <t>efectivo</t>
        </is>
      </c>
    </row>
    <row r="786" hidden="1" customFormat="1" s="23">
      <c r="A786" s="38" t="n">
        <v>46160</v>
      </c>
      <c r="B786" s="23" t="inlineStr">
        <is>
          <t>Edinson El Flaco</t>
        </is>
      </c>
      <c r="C786" s="23" t="inlineStr">
        <is>
          <t>Bajaj OTR 29H</t>
        </is>
      </c>
      <c r="D786" s="23" t="inlineStr">
        <is>
          <t>OTR29H</t>
        </is>
      </c>
      <c r="H786" s="23" t="n">
        <v>240000</v>
      </c>
      <c r="I786" s="23" t="n">
        <v>240000</v>
      </c>
      <c r="J786" s="23" t="inlineStr">
        <is>
          <t>efectivo</t>
        </is>
      </c>
    </row>
    <row r="787" hidden="1" customFormat="1" s="23">
      <c r="A787" s="38" t="n">
        <v>46173</v>
      </c>
      <c r="B787" s="23" t="inlineStr">
        <is>
          <t>Edinson El Flaco</t>
        </is>
      </c>
      <c r="C787" s="23" t="inlineStr">
        <is>
          <t>Bajaj OTR 29H</t>
        </is>
      </c>
      <c r="D787" s="23" t="inlineStr">
        <is>
          <t>OTR29H</t>
        </is>
      </c>
      <c r="H787" s="23" t="n">
        <v>240000</v>
      </c>
      <c r="I787" s="23" t="n">
        <v>240000</v>
      </c>
      <c r="J787" s="23" t="inlineStr">
        <is>
          <t>efectivo</t>
        </is>
      </c>
    </row>
    <row r="788" hidden="1" customFormat="1" s="23">
      <c r="A788" s="38" t="n">
        <v>46183</v>
      </c>
      <c r="B788" s="23" t="inlineStr">
        <is>
          <t>Edinson El Flaco</t>
        </is>
      </c>
      <c r="C788" s="23" t="inlineStr">
        <is>
          <t>Bajaj OTR 29H</t>
        </is>
      </c>
      <c r="D788" s="23" t="inlineStr">
        <is>
          <t>OTR29H</t>
        </is>
      </c>
      <c r="H788" s="23" t="n">
        <v>240000</v>
      </c>
      <c r="I788" s="23" t="n">
        <v>240000</v>
      </c>
      <c r="J788" s="23" t="inlineStr">
        <is>
          <t>efectivo</t>
        </is>
      </c>
    </row>
    <row r="789" hidden="1" customFormat="1" s="23">
      <c r="A789" s="38" t="n">
        <v>46188</v>
      </c>
      <c r="B789" s="23" t="inlineStr">
        <is>
          <t>Edinson El Flaco</t>
        </is>
      </c>
      <c r="C789" s="23" t="inlineStr">
        <is>
          <t>Bajaj OTR 29H</t>
        </is>
      </c>
      <c r="D789" s="23" t="inlineStr">
        <is>
          <t>OTR29H</t>
        </is>
      </c>
      <c r="H789" s="23" t="n">
        <v>240000</v>
      </c>
      <c r="I789" s="23" t="n">
        <v>240000</v>
      </c>
      <c r="J789" s="23" t="inlineStr">
        <is>
          <t>efectivo</t>
        </is>
      </c>
    </row>
    <row r="790" hidden="1" customFormat="1" s="23">
      <c r="A790" s="38" t="n">
        <v>46196</v>
      </c>
      <c r="B790" s="23" t="inlineStr">
        <is>
          <t>Edinson El Flaco</t>
        </is>
      </c>
      <c r="C790" s="23" t="inlineStr">
        <is>
          <t>Bajaj OTR 29H</t>
        </is>
      </c>
      <c r="D790" s="23" t="inlineStr">
        <is>
          <t>OTR29H</t>
        </is>
      </c>
      <c r="H790" s="23" t="n">
        <v>240000</v>
      </c>
      <c r="I790" s="23" t="n">
        <v>240000</v>
      </c>
      <c r="J790" s="23" t="inlineStr">
        <is>
          <t>efectivo</t>
        </is>
      </c>
    </row>
    <row r="791" hidden="1" customFormat="1" s="23">
      <c r="A791" s="38" t="n">
        <v>46201</v>
      </c>
      <c r="B791" s="23" t="inlineStr">
        <is>
          <t>Edinson El Flaco</t>
        </is>
      </c>
      <c r="C791" s="23" t="inlineStr">
        <is>
          <t>Bajaj OTR 29H</t>
        </is>
      </c>
      <c r="D791" s="23" t="inlineStr">
        <is>
          <t>OTR29H</t>
        </is>
      </c>
      <c r="H791" s="23" t="n">
        <v>240000</v>
      </c>
      <c r="I791" s="23" t="n">
        <v>240000</v>
      </c>
      <c r="J791" s="23" t="inlineStr">
        <is>
          <t>efectivo</t>
        </is>
      </c>
    </row>
    <row r="792" hidden="1" customFormat="1" s="23">
      <c r="A792" s="38" t="n">
        <v>46208</v>
      </c>
      <c r="B792" s="23" t="inlineStr">
        <is>
          <t>Edinson El Flaco</t>
        </is>
      </c>
      <c r="C792" s="23" t="inlineStr">
        <is>
          <t>Bajaj OTR 29H</t>
        </is>
      </c>
      <c r="D792" s="23" t="inlineStr">
        <is>
          <t>OTR29H</t>
        </is>
      </c>
      <c r="H792" s="23" t="n">
        <v>240000</v>
      </c>
      <c r="I792" s="23" t="n">
        <v>240000</v>
      </c>
      <c r="J792" s="23" t="inlineStr">
        <is>
          <t>efectivo</t>
        </is>
      </c>
    </row>
    <row r="793" hidden="1" customFormat="1" s="23">
      <c r="A793" s="38" t="n">
        <v>46219</v>
      </c>
      <c r="B793" s="23" t="inlineStr">
        <is>
          <t>Edinson El Flaco</t>
        </is>
      </c>
      <c r="C793" s="23" t="inlineStr">
        <is>
          <t>Bajaj OTR 29H</t>
        </is>
      </c>
      <c r="D793" s="23" t="inlineStr">
        <is>
          <t>OTR29H</t>
        </is>
      </c>
      <c r="H793" s="23" t="n">
        <v>240000</v>
      </c>
      <c r="I793" s="23" t="n">
        <v>240000</v>
      </c>
      <c r="J793" s="23" t="inlineStr">
        <is>
          <t>efectivo</t>
        </is>
      </c>
    </row>
    <row r="794" hidden="1" customFormat="1" s="23">
      <c r="A794" s="38" t="n">
        <v>45855</v>
      </c>
      <c r="B794" s="23" t="inlineStr">
        <is>
          <t>Brayan</t>
        </is>
      </c>
      <c r="C794" s="23" t="inlineStr">
        <is>
          <t>Bajaj OUA 19H</t>
        </is>
      </c>
      <c r="D794" s="23" t="inlineStr">
        <is>
          <t>OUA19H</t>
        </is>
      </c>
      <c r="H794" s="23" t="n">
        <v>240000</v>
      </c>
      <c r="I794" s="23" t="n">
        <v>240000</v>
      </c>
      <c r="J794" s="23" t="inlineStr">
        <is>
          <t>efectivo</t>
        </is>
      </c>
    </row>
    <row r="795" hidden="1" customFormat="1" s="23">
      <c r="A795" s="38" t="n">
        <v>45862</v>
      </c>
      <c r="B795" s="23" t="inlineStr">
        <is>
          <t>Brayan</t>
        </is>
      </c>
      <c r="C795" s="23" t="inlineStr">
        <is>
          <t>Bajaj OUA 19H</t>
        </is>
      </c>
      <c r="D795" s="23" t="inlineStr">
        <is>
          <t>OUA19H</t>
        </is>
      </c>
      <c r="H795" s="23" t="n">
        <v>240000</v>
      </c>
      <c r="I795" s="23" t="n">
        <v>240000</v>
      </c>
      <c r="J795" s="23" t="inlineStr">
        <is>
          <t>efectivo</t>
        </is>
      </c>
    </row>
    <row r="796" hidden="1" customFormat="1" s="23">
      <c r="A796" s="38" t="n">
        <v>45869</v>
      </c>
      <c r="B796" s="23" t="inlineStr">
        <is>
          <t>Brayan</t>
        </is>
      </c>
      <c r="C796" s="23" t="inlineStr">
        <is>
          <t>Bajaj OUA 19H</t>
        </is>
      </c>
      <c r="D796" s="23" t="inlineStr">
        <is>
          <t>OUA19H</t>
        </is>
      </c>
      <c r="H796" s="23" t="n">
        <v>240000</v>
      </c>
      <c r="I796" s="23" t="n">
        <v>240000</v>
      </c>
      <c r="J796" s="23" t="inlineStr">
        <is>
          <t>efectivo</t>
        </is>
      </c>
    </row>
    <row r="797" hidden="1" customFormat="1" s="23">
      <c r="A797" s="38" t="n">
        <v>45885</v>
      </c>
      <c r="B797" s="23" t="inlineStr">
        <is>
          <t>Brayan</t>
        </is>
      </c>
      <c r="C797" s="23" t="inlineStr">
        <is>
          <t>Bajaj OUA 19H</t>
        </is>
      </c>
      <c r="D797" s="23" t="inlineStr">
        <is>
          <t>OUA19H</t>
        </is>
      </c>
      <c r="H797" s="23" t="n">
        <v>240000</v>
      </c>
      <c r="I797" s="23" t="n">
        <v>240000</v>
      </c>
      <c r="J797" s="23" t="inlineStr">
        <is>
          <t>efectivo</t>
        </is>
      </c>
    </row>
    <row r="798" hidden="1" customFormat="1" s="23">
      <c r="A798" s="38" t="n">
        <v>45904</v>
      </c>
      <c r="B798" s="23" t="inlineStr">
        <is>
          <t>Brayan</t>
        </is>
      </c>
      <c r="C798" s="23" t="inlineStr">
        <is>
          <t>Bajaj OUA 19H</t>
        </is>
      </c>
      <c r="D798" s="23" t="inlineStr">
        <is>
          <t>OUA19H</t>
        </is>
      </c>
      <c r="H798" s="23" t="n">
        <v>240000</v>
      </c>
      <c r="I798" s="23" t="n">
        <v>240000</v>
      </c>
      <c r="J798" s="23" t="inlineStr">
        <is>
          <t>efectivo</t>
        </is>
      </c>
    </row>
    <row r="799" hidden="1" customFormat="1" s="23">
      <c r="A799" s="38" t="n">
        <v>45912</v>
      </c>
      <c r="B799" s="23" t="inlineStr">
        <is>
          <t>Brayan</t>
        </is>
      </c>
      <c r="C799" s="23" t="inlineStr">
        <is>
          <t>Bajaj OUA 19H</t>
        </is>
      </c>
      <c r="D799" s="23" t="inlineStr">
        <is>
          <t>OUA19H</t>
        </is>
      </c>
      <c r="H799" s="23" t="n">
        <v>240000</v>
      </c>
      <c r="I799" s="23" t="n">
        <v>240000</v>
      </c>
      <c r="J799" s="23" t="inlineStr">
        <is>
          <t>efectivo</t>
        </is>
      </c>
    </row>
    <row r="800" hidden="1" customFormat="1" s="23">
      <c r="A800" s="38" t="n">
        <v>45918</v>
      </c>
      <c r="B800" s="23" t="inlineStr">
        <is>
          <t>Brayan</t>
        </is>
      </c>
      <c r="C800" s="23" t="inlineStr">
        <is>
          <t>Bajaj OUA 19H</t>
        </is>
      </c>
      <c r="D800" s="23" t="inlineStr">
        <is>
          <t>OUA19H</t>
        </is>
      </c>
      <c r="H800" s="23" t="n">
        <v>240000</v>
      </c>
      <c r="I800" s="23" t="n">
        <v>240000</v>
      </c>
      <c r="J800" s="23" t="inlineStr">
        <is>
          <t>efectivo</t>
        </is>
      </c>
    </row>
    <row r="801" hidden="1" customFormat="1" s="23">
      <c r="A801" s="38" t="n">
        <v>45926</v>
      </c>
      <c r="B801" s="23" t="inlineStr">
        <is>
          <t>Brayan</t>
        </is>
      </c>
      <c r="C801" s="23" t="inlineStr">
        <is>
          <t>Bajaj OUA 19H</t>
        </is>
      </c>
      <c r="D801" s="23" t="inlineStr">
        <is>
          <t>OUA19H</t>
        </is>
      </c>
      <c r="H801" s="23" t="n">
        <v>240000</v>
      </c>
      <c r="I801" s="23" t="n">
        <v>240000</v>
      </c>
      <c r="J801" s="23" t="inlineStr">
        <is>
          <t>efectivo</t>
        </is>
      </c>
    </row>
    <row r="802" hidden="1" customFormat="1" s="23">
      <c r="A802" s="38" t="n">
        <v>45934</v>
      </c>
      <c r="B802" s="23" t="inlineStr">
        <is>
          <t>Brayan</t>
        </is>
      </c>
      <c r="C802" s="23" t="inlineStr">
        <is>
          <t>Bajaj OUA 19H</t>
        </is>
      </c>
      <c r="D802" s="23" t="inlineStr">
        <is>
          <t>OUA19H</t>
        </is>
      </c>
      <c r="H802" s="23" t="n">
        <v>240000</v>
      </c>
      <c r="I802" s="23" t="n">
        <v>240000</v>
      </c>
      <c r="J802" s="23" t="inlineStr">
        <is>
          <t>efectivo</t>
        </is>
      </c>
    </row>
    <row r="803" hidden="1" customFormat="1" s="23">
      <c r="A803" s="38" t="n">
        <v>45942</v>
      </c>
      <c r="B803" s="23" t="inlineStr">
        <is>
          <t>Brayan</t>
        </is>
      </c>
      <c r="C803" s="23" t="inlineStr">
        <is>
          <t>Bajaj OUA 19H</t>
        </is>
      </c>
      <c r="D803" s="23" t="inlineStr">
        <is>
          <t>OUA19H</t>
        </is>
      </c>
      <c r="H803" s="23" t="n">
        <v>240000</v>
      </c>
      <c r="I803" s="23" t="n">
        <v>240000</v>
      </c>
      <c r="J803" s="23" t="inlineStr">
        <is>
          <t>efectivo</t>
        </is>
      </c>
    </row>
    <row r="804" hidden="1" customFormat="1" s="23">
      <c r="A804" s="38" t="n">
        <v>45949</v>
      </c>
      <c r="B804" s="23" t="inlineStr">
        <is>
          <t>Brayan</t>
        </is>
      </c>
      <c r="C804" s="23" t="inlineStr">
        <is>
          <t>Bajaj OUA 19H</t>
        </is>
      </c>
      <c r="D804" s="23" t="inlineStr">
        <is>
          <t>OUA19H</t>
        </is>
      </c>
      <c r="H804" s="23" t="n">
        <v>240000</v>
      </c>
      <c r="I804" s="23" t="n">
        <v>240000</v>
      </c>
      <c r="J804" s="23" t="inlineStr">
        <is>
          <t>efectivo</t>
        </is>
      </c>
    </row>
    <row r="805" hidden="1" customFormat="1" s="23">
      <c r="A805" s="38" t="n">
        <v>45957</v>
      </c>
      <c r="B805" s="23" t="inlineStr">
        <is>
          <t>Brayan</t>
        </is>
      </c>
      <c r="C805" s="23" t="inlineStr">
        <is>
          <t>Bajaj OUA 19H</t>
        </is>
      </c>
      <c r="D805" s="23" t="inlineStr">
        <is>
          <t>OUA19H</t>
        </is>
      </c>
      <c r="H805" s="23" t="n">
        <v>240000</v>
      </c>
      <c r="I805" s="23" t="n">
        <v>240000</v>
      </c>
      <c r="J805" s="23" t="inlineStr">
        <is>
          <t>efectivo</t>
        </is>
      </c>
    </row>
    <row r="806" hidden="1" customFormat="1" s="23">
      <c r="A806" s="38" t="n">
        <v>45965</v>
      </c>
      <c r="B806" s="23" t="inlineStr">
        <is>
          <t>Brayan</t>
        </is>
      </c>
      <c r="C806" s="23" t="inlineStr">
        <is>
          <t>Bajaj OUA 19H</t>
        </is>
      </c>
      <c r="D806" s="23" t="inlineStr">
        <is>
          <t>OUA19H</t>
        </is>
      </c>
      <c r="H806" s="23" t="n">
        <v>240000</v>
      </c>
      <c r="I806" s="23" t="n">
        <v>240000</v>
      </c>
      <c r="J806" s="23" t="inlineStr">
        <is>
          <t>efectivo</t>
        </is>
      </c>
    </row>
    <row r="807" hidden="1" customFormat="1" s="23">
      <c r="A807" s="38" t="n">
        <v>45973</v>
      </c>
      <c r="B807" s="23" t="inlineStr">
        <is>
          <t>Brayan</t>
        </is>
      </c>
      <c r="C807" s="23" t="inlineStr">
        <is>
          <t>Bajaj OUA 19H</t>
        </is>
      </c>
      <c r="D807" s="23" t="inlineStr">
        <is>
          <t>OUA19H</t>
        </is>
      </c>
      <c r="H807" s="23" t="n">
        <v>240000</v>
      </c>
      <c r="I807" s="23" t="n">
        <v>240000</v>
      </c>
      <c r="J807" s="23" t="inlineStr">
        <is>
          <t>efectivo</t>
        </is>
      </c>
    </row>
    <row r="808" hidden="1" customFormat="1" s="23">
      <c r="A808" s="38" t="n">
        <v>45982</v>
      </c>
      <c r="B808" s="23" t="inlineStr">
        <is>
          <t>Brayan</t>
        </is>
      </c>
      <c r="C808" s="23" t="inlineStr">
        <is>
          <t>Bajaj OUA 19H</t>
        </is>
      </c>
      <c r="D808" s="23" t="inlineStr">
        <is>
          <t>OUA19H</t>
        </is>
      </c>
      <c r="H808" s="23" t="n">
        <v>240000</v>
      </c>
      <c r="I808" s="23" t="n">
        <v>240000</v>
      </c>
      <c r="J808" s="23" t="inlineStr">
        <is>
          <t>efectivo</t>
        </is>
      </c>
    </row>
    <row r="809" hidden="1" customFormat="1" s="23">
      <c r="A809" s="38" t="n">
        <v>45990</v>
      </c>
      <c r="B809" s="23" t="inlineStr">
        <is>
          <t>Brayan</t>
        </is>
      </c>
      <c r="C809" s="23" t="inlineStr">
        <is>
          <t>Bajaj OUA 19H</t>
        </is>
      </c>
      <c r="D809" s="23" t="inlineStr">
        <is>
          <t>OUA19H</t>
        </is>
      </c>
      <c r="H809" s="23" t="n">
        <v>240000</v>
      </c>
      <c r="I809" s="23" t="n">
        <v>240000</v>
      </c>
      <c r="J809" s="23" t="inlineStr">
        <is>
          <t>efectivo</t>
        </is>
      </c>
    </row>
    <row r="810" hidden="1" customFormat="1" s="23">
      <c r="A810" s="38" t="n">
        <v>45998</v>
      </c>
      <c r="B810" s="23" t="inlineStr">
        <is>
          <t>Brayan</t>
        </is>
      </c>
      <c r="C810" s="23" t="inlineStr">
        <is>
          <t>Bajaj OUA 19H</t>
        </is>
      </c>
      <c r="D810" s="23" t="inlineStr">
        <is>
          <t>OUA19H</t>
        </is>
      </c>
      <c r="H810" s="23" t="n">
        <v>240000</v>
      </c>
      <c r="I810" s="23" t="n">
        <v>240000</v>
      </c>
      <c r="J810" s="23" t="inlineStr">
        <is>
          <t>efectivo</t>
        </is>
      </c>
    </row>
    <row r="811" hidden="1" customFormat="1" s="23">
      <c r="A811" s="38" t="n">
        <v>46007</v>
      </c>
      <c r="B811" s="23" t="inlineStr">
        <is>
          <t>Brayan</t>
        </is>
      </c>
      <c r="C811" s="23" t="inlineStr">
        <is>
          <t>Bajaj OUA 19H</t>
        </is>
      </c>
      <c r="D811" s="23" t="inlineStr">
        <is>
          <t>OUA19H</t>
        </is>
      </c>
      <c r="H811" s="23" t="n">
        <v>240000</v>
      </c>
      <c r="I811" s="23" t="n">
        <v>240000</v>
      </c>
      <c r="J811" s="23" t="inlineStr">
        <is>
          <t>efectivo</t>
        </is>
      </c>
    </row>
    <row r="812" hidden="1" customFormat="1" s="23">
      <c r="A812" s="38" t="n">
        <v>46015</v>
      </c>
      <c r="B812" s="23" t="inlineStr">
        <is>
          <t>Brayan</t>
        </is>
      </c>
      <c r="C812" s="23" t="inlineStr">
        <is>
          <t>Bajaj OUA 19H</t>
        </is>
      </c>
      <c r="D812" s="23" t="inlineStr">
        <is>
          <t>OUA19H</t>
        </is>
      </c>
      <c r="H812" s="23" t="n">
        <v>240000</v>
      </c>
      <c r="I812" s="23" t="n">
        <v>240000</v>
      </c>
      <c r="J812" s="23" t="inlineStr">
        <is>
          <t>efectivo</t>
        </is>
      </c>
    </row>
    <row r="813" hidden="1" customFormat="1" s="23">
      <c r="A813" s="38" t="n">
        <v>46030</v>
      </c>
      <c r="B813" s="23" t="inlineStr">
        <is>
          <t>Brayan</t>
        </is>
      </c>
      <c r="C813" s="23" t="inlineStr">
        <is>
          <t>Bajaj OUA 19H</t>
        </is>
      </c>
      <c r="D813" s="23" t="inlineStr">
        <is>
          <t>OUA19H</t>
        </is>
      </c>
      <c r="H813" s="23" t="n">
        <v>240000</v>
      </c>
      <c r="I813" s="23" t="n">
        <v>240000</v>
      </c>
      <c r="J813" s="23" t="inlineStr">
        <is>
          <t>efectivo</t>
        </is>
      </c>
    </row>
    <row r="814" hidden="1" customFormat="1" s="23">
      <c r="A814" s="38" t="n">
        <v>46038</v>
      </c>
      <c r="B814" s="23" t="inlineStr">
        <is>
          <t>Brayan</t>
        </is>
      </c>
      <c r="C814" s="23" t="inlineStr">
        <is>
          <t>Bajaj OUA 19H</t>
        </is>
      </c>
      <c r="D814" s="23" t="inlineStr">
        <is>
          <t>OUA19H</t>
        </is>
      </c>
      <c r="H814" s="23" t="n">
        <v>240000</v>
      </c>
      <c r="I814" s="23" t="n">
        <v>240000</v>
      </c>
      <c r="J814" s="23" t="inlineStr">
        <is>
          <t>efectivo</t>
        </is>
      </c>
    </row>
    <row r="815" hidden="1" customFormat="1" s="23">
      <c r="A815" s="38" t="n">
        <v>46046</v>
      </c>
      <c r="B815" s="23" t="inlineStr">
        <is>
          <t>Brayan</t>
        </is>
      </c>
      <c r="C815" s="23" t="inlineStr">
        <is>
          <t>Bajaj OUA 19H</t>
        </is>
      </c>
      <c r="D815" s="23" t="inlineStr">
        <is>
          <t>OUA19H</t>
        </is>
      </c>
      <c r="H815" s="23" t="n">
        <v>240000</v>
      </c>
      <c r="I815" s="23" t="n">
        <v>240000</v>
      </c>
      <c r="J815" s="23" t="inlineStr">
        <is>
          <t>efectivo</t>
        </is>
      </c>
    </row>
    <row r="816" hidden="1" customFormat="1" s="23">
      <c r="A816" s="38" t="n">
        <v>46055</v>
      </c>
      <c r="B816" s="23" t="inlineStr">
        <is>
          <t>Brayan</t>
        </is>
      </c>
      <c r="C816" s="23" t="inlineStr">
        <is>
          <t>Bajaj OUA 19H</t>
        </is>
      </c>
      <c r="D816" s="23" t="inlineStr">
        <is>
          <t>OUA19H</t>
        </is>
      </c>
      <c r="H816" s="23" t="n">
        <v>240000</v>
      </c>
      <c r="I816" s="23" t="n">
        <v>240000</v>
      </c>
      <c r="J816" s="23" t="inlineStr">
        <is>
          <t>efectivo</t>
        </is>
      </c>
    </row>
    <row r="817" hidden="1" customFormat="1" s="23">
      <c r="A817" s="38" t="n">
        <v>46063</v>
      </c>
      <c r="B817" s="23" t="inlineStr">
        <is>
          <t>Brayan</t>
        </is>
      </c>
      <c r="C817" s="23" t="inlineStr">
        <is>
          <t>Bajaj OUA 19H</t>
        </is>
      </c>
      <c r="D817" s="23" t="inlineStr">
        <is>
          <t>OUA19H</t>
        </is>
      </c>
      <c r="H817" s="23" t="n">
        <v>240000</v>
      </c>
      <c r="I817" s="23" t="n">
        <v>240000</v>
      </c>
      <c r="J817" s="23" t="inlineStr">
        <is>
          <t>efectivo</t>
        </is>
      </c>
    </row>
    <row r="818" hidden="1" customFormat="1" s="23">
      <c r="A818" s="38" t="n">
        <v>46071</v>
      </c>
      <c r="B818" s="23" t="inlineStr">
        <is>
          <t>Brayan</t>
        </is>
      </c>
      <c r="C818" s="23" t="inlineStr">
        <is>
          <t>Bajaj OUA 19H</t>
        </is>
      </c>
      <c r="D818" s="23" t="inlineStr">
        <is>
          <t>OUA19H</t>
        </is>
      </c>
      <c r="H818" s="23" t="n">
        <v>240000</v>
      </c>
      <c r="I818" s="23" t="n">
        <v>240000</v>
      </c>
      <c r="J818" s="23" t="inlineStr">
        <is>
          <t>efectivo</t>
        </is>
      </c>
    </row>
    <row r="819" hidden="1" customFormat="1" s="23">
      <c r="A819" s="38" t="n">
        <v>46080</v>
      </c>
      <c r="B819" s="23" t="inlineStr">
        <is>
          <t>Brayan</t>
        </is>
      </c>
      <c r="C819" s="23" t="inlineStr">
        <is>
          <t>Bajaj OUA 19H</t>
        </is>
      </c>
      <c r="D819" s="23" t="inlineStr">
        <is>
          <t>OUA19H</t>
        </is>
      </c>
      <c r="H819" s="23" t="n">
        <v>240000</v>
      </c>
      <c r="I819" s="23" t="n">
        <v>240000</v>
      </c>
      <c r="J819" s="23" t="inlineStr">
        <is>
          <t>efectivo</t>
        </is>
      </c>
    </row>
    <row r="820" hidden="1" customFormat="1" s="23">
      <c r="A820" s="38" t="n">
        <v>46089</v>
      </c>
      <c r="B820" s="23" t="inlineStr">
        <is>
          <t>Brayan</t>
        </is>
      </c>
      <c r="C820" s="23" t="inlineStr">
        <is>
          <t>Bajaj OUA 19H</t>
        </is>
      </c>
      <c r="D820" s="23" t="inlineStr">
        <is>
          <t>OUA19H</t>
        </is>
      </c>
      <c r="H820" s="23" t="n">
        <v>240000</v>
      </c>
      <c r="I820" s="23" t="n">
        <v>240000</v>
      </c>
      <c r="J820" s="23" t="inlineStr">
        <is>
          <t>efectivo</t>
        </is>
      </c>
    </row>
    <row r="821" hidden="1" customFormat="1" s="23">
      <c r="A821" s="38" t="n">
        <v>46097</v>
      </c>
      <c r="B821" s="23" t="inlineStr">
        <is>
          <t>Brayan</t>
        </is>
      </c>
      <c r="C821" s="23" t="inlineStr">
        <is>
          <t>Bajaj OUA 19H</t>
        </is>
      </c>
      <c r="D821" s="23" t="inlineStr">
        <is>
          <t>OUA19H</t>
        </is>
      </c>
      <c r="H821" s="23" t="n">
        <v>240000</v>
      </c>
      <c r="I821" s="23" t="n">
        <v>240000</v>
      </c>
      <c r="J821" s="23" t="inlineStr">
        <is>
          <t>efectivo</t>
        </is>
      </c>
    </row>
    <row r="822" hidden="1" customFormat="1" s="23">
      <c r="A822" s="38" t="n">
        <v>46105</v>
      </c>
      <c r="B822" s="23" t="inlineStr">
        <is>
          <t>Brayan</t>
        </is>
      </c>
      <c r="C822" s="23" t="inlineStr">
        <is>
          <t>Bajaj OUA 19H</t>
        </is>
      </c>
      <c r="D822" s="23" t="inlineStr">
        <is>
          <t>OUA19H</t>
        </is>
      </c>
      <c r="H822" s="23" t="n">
        <v>240000</v>
      </c>
      <c r="I822" s="23" t="n">
        <v>240000</v>
      </c>
      <c r="J822" s="23" t="inlineStr">
        <is>
          <t>efectivo</t>
        </is>
      </c>
    </row>
    <row r="823" hidden="1" customFormat="1" s="23">
      <c r="A823" s="38" t="n">
        <v>46114</v>
      </c>
      <c r="B823" s="23" t="inlineStr">
        <is>
          <t>Brayan</t>
        </is>
      </c>
      <c r="C823" s="23" t="inlineStr">
        <is>
          <t>Bajaj OUA 19H</t>
        </is>
      </c>
      <c r="D823" s="23" t="inlineStr">
        <is>
          <t>OUA19H</t>
        </is>
      </c>
      <c r="H823" s="23" t="n">
        <v>240000</v>
      </c>
      <c r="I823" s="23" t="n">
        <v>240000</v>
      </c>
      <c r="J823" s="23" t="inlineStr">
        <is>
          <t>efectivo</t>
        </is>
      </c>
    </row>
    <row r="824" hidden="1" customFormat="1" s="23">
      <c r="A824" s="38" t="n">
        <v>46123</v>
      </c>
      <c r="B824" s="23" t="inlineStr">
        <is>
          <t>Brayan</t>
        </is>
      </c>
      <c r="C824" s="23" t="inlineStr">
        <is>
          <t>Bajaj OUA 19H</t>
        </is>
      </c>
      <c r="D824" s="23" t="inlineStr">
        <is>
          <t>OUA19H</t>
        </is>
      </c>
      <c r="H824" s="23" t="n">
        <v>240000</v>
      </c>
      <c r="I824" s="23" t="n">
        <v>240000</v>
      </c>
      <c r="J824" s="23" t="inlineStr">
        <is>
          <t>efectivo</t>
        </is>
      </c>
    </row>
    <row r="825" hidden="1" customFormat="1" s="23">
      <c r="A825" s="38" t="n">
        <v>46131</v>
      </c>
      <c r="B825" s="23" t="inlineStr">
        <is>
          <t>Brayan</t>
        </is>
      </c>
      <c r="C825" s="23" t="inlineStr">
        <is>
          <t>Bajaj OUA 19H</t>
        </is>
      </c>
      <c r="D825" s="23" t="inlineStr">
        <is>
          <t>OUA19H</t>
        </is>
      </c>
      <c r="H825" s="23" t="n">
        <v>240000</v>
      </c>
      <c r="I825" s="23" t="n">
        <v>240000</v>
      </c>
      <c r="J825" s="23" t="inlineStr">
        <is>
          <t>efectivo</t>
        </is>
      </c>
    </row>
    <row r="826" hidden="1" customFormat="1" s="23">
      <c r="A826" s="38" t="n">
        <v>46140</v>
      </c>
      <c r="B826" s="23" t="inlineStr">
        <is>
          <t>Brayan</t>
        </is>
      </c>
      <c r="C826" s="23" t="inlineStr">
        <is>
          <t>Bajaj OUA 19H</t>
        </is>
      </c>
      <c r="D826" s="23" t="inlineStr">
        <is>
          <t>OUA19H</t>
        </is>
      </c>
      <c r="H826" s="23" t="n">
        <v>240000</v>
      </c>
      <c r="I826" s="23" t="n">
        <v>240000</v>
      </c>
      <c r="J826" s="23" t="inlineStr">
        <is>
          <t>efectivo</t>
        </is>
      </c>
    </row>
    <row r="827" hidden="1" customFormat="1" s="23">
      <c r="A827" s="38" t="n">
        <v>46148</v>
      </c>
      <c r="B827" s="23" t="inlineStr">
        <is>
          <t>Brayan</t>
        </is>
      </c>
      <c r="C827" s="23" t="inlineStr">
        <is>
          <t>Bajaj OUA 19H</t>
        </is>
      </c>
      <c r="D827" s="23" t="inlineStr">
        <is>
          <t>OUA19H</t>
        </is>
      </c>
      <c r="H827" s="23" t="n">
        <v>240000</v>
      </c>
      <c r="I827" s="23" t="n">
        <v>240000</v>
      </c>
      <c r="J827" s="23" t="inlineStr">
        <is>
          <t>efectivo</t>
        </is>
      </c>
    </row>
    <row r="828" hidden="1" customFormat="1" s="23">
      <c r="A828" s="38" t="n">
        <v>46156</v>
      </c>
      <c r="B828" s="23" t="inlineStr">
        <is>
          <t>Brayan</t>
        </is>
      </c>
      <c r="C828" s="23" t="inlineStr">
        <is>
          <t>Bajaj OUA 19H</t>
        </is>
      </c>
      <c r="D828" s="23" t="inlineStr">
        <is>
          <t>OUA19H</t>
        </is>
      </c>
      <c r="H828" s="23" t="n">
        <v>240000</v>
      </c>
      <c r="I828" s="23" t="n">
        <v>240000</v>
      </c>
      <c r="J828" s="23" t="inlineStr">
        <is>
          <t>efectivo</t>
        </is>
      </c>
    </row>
    <row r="829" hidden="1" customFormat="1" s="23">
      <c r="A829" s="38" t="n">
        <v>46164</v>
      </c>
      <c r="B829" s="23" t="inlineStr">
        <is>
          <t>Brayan</t>
        </is>
      </c>
      <c r="C829" s="23" t="inlineStr">
        <is>
          <t>Bajaj OUA 19H</t>
        </is>
      </c>
      <c r="D829" s="23" t="inlineStr">
        <is>
          <t>OUA19H</t>
        </is>
      </c>
      <c r="H829" s="23" t="n">
        <v>240000</v>
      </c>
      <c r="I829" s="23" t="n">
        <v>240000</v>
      </c>
      <c r="J829" s="23" t="inlineStr">
        <is>
          <t>efectivo</t>
        </is>
      </c>
    </row>
    <row r="830" hidden="1" customFormat="1" s="23">
      <c r="A830" s="38" t="n">
        <v>46172</v>
      </c>
      <c r="B830" s="23" t="inlineStr">
        <is>
          <t>Brayan</t>
        </is>
      </c>
      <c r="C830" s="23" t="inlineStr">
        <is>
          <t>Bajaj OUA 19H</t>
        </is>
      </c>
      <c r="D830" s="23" t="inlineStr">
        <is>
          <t>OUA19H</t>
        </is>
      </c>
      <c r="H830" s="23" t="n">
        <v>240000</v>
      </c>
      <c r="I830" s="23" t="n">
        <v>240000</v>
      </c>
      <c r="J830" s="23" t="inlineStr">
        <is>
          <t>efectivo</t>
        </is>
      </c>
    </row>
    <row r="831" hidden="1" customFormat="1" s="23">
      <c r="A831" s="38" t="n">
        <v>46181</v>
      </c>
      <c r="B831" s="23" t="inlineStr">
        <is>
          <t>Brayan</t>
        </is>
      </c>
      <c r="C831" s="23" t="inlineStr">
        <is>
          <t>Bajaj OUA 19H</t>
        </is>
      </c>
      <c r="D831" s="23" t="inlineStr">
        <is>
          <t>OUA19H</t>
        </is>
      </c>
      <c r="H831" s="23" t="n">
        <v>240000</v>
      </c>
      <c r="I831" s="23" t="n">
        <v>240000</v>
      </c>
      <c r="J831" s="23" t="inlineStr">
        <is>
          <t>efectivo</t>
        </is>
      </c>
    </row>
    <row r="832" hidden="1" customFormat="1" s="23">
      <c r="A832" s="38" t="n">
        <v>46192</v>
      </c>
      <c r="B832" s="23" t="inlineStr">
        <is>
          <t>Brayan</t>
        </is>
      </c>
      <c r="C832" s="23" t="inlineStr">
        <is>
          <t>Bajaj OUA 19H</t>
        </is>
      </c>
      <c r="D832" s="23" t="inlineStr">
        <is>
          <t>OUA19H</t>
        </is>
      </c>
      <c r="H832" s="23" t="n">
        <v>240000</v>
      </c>
      <c r="I832" s="23" t="n">
        <v>240000</v>
      </c>
      <c r="J832" s="23" t="inlineStr">
        <is>
          <t>efectivo</t>
        </is>
      </c>
    </row>
    <row r="833" hidden="1" customFormat="1" s="23">
      <c r="A833" s="38" t="n">
        <v>46200</v>
      </c>
      <c r="B833" s="23" t="inlineStr">
        <is>
          <t>Brayan</t>
        </is>
      </c>
      <c r="C833" s="23" t="inlineStr">
        <is>
          <t>Bajaj OUA 19H</t>
        </is>
      </c>
      <c r="D833" s="23" t="inlineStr">
        <is>
          <t>OUA19H</t>
        </is>
      </c>
      <c r="H833" s="23" t="n">
        <v>240000</v>
      </c>
      <c r="I833" s="23" t="n">
        <v>240000</v>
      </c>
      <c r="J833" s="23" t="inlineStr">
        <is>
          <t>efectivo</t>
        </is>
      </c>
    </row>
    <row r="834" hidden="1" customFormat="1" s="23">
      <c r="A834" s="38" t="n">
        <v>46208</v>
      </c>
      <c r="B834" s="23" t="inlineStr">
        <is>
          <t>Brayan</t>
        </is>
      </c>
      <c r="C834" s="23" t="inlineStr">
        <is>
          <t>Bajaj OUA 19H</t>
        </is>
      </c>
      <c r="D834" s="23" t="inlineStr">
        <is>
          <t>OUA19H</t>
        </is>
      </c>
      <c r="H834" s="23" t="n">
        <v>240000</v>
      </c>
      <c r="I834" s="23" t="n">
        <v>240000</v>
      </c>
      <c r="J834" s="23" t="inlineStr">
        <is>
          <t>efectivo</t>
        </is>
      </c>
    </row>
    <row r="835" hidden="1" customFormat="1" s="23">
      <c r="A835" s="38" t="n">
        <v>46219</v>
      </c>
      <c r="B835" s="23" t="inlineStr">
        <is>
          <t>Brayan</t>
        </is>
      </c>
      <c r="C835" s="23" t="inlineStr">
        <is>
          <t>Bajaj OUA 19H</t>
        </is>
      </c>
      <c r="D835" s="23" t="inlineStr">
        <is>
          <t>OUA19H</t>
        </is>
      </c>
      <c r="H835" s="23" t="n">
        <v>240000</v>
      </c>
      <c r="I835" s="23" t="n">
        <v>240000</v>
      </c>
      <c r="J835" s="23" t="inlineStr">
        <is>
          <t>efectivo</t>
        </is>
      </c>
    </row>
    <row r="836" customFormat="1" s="23">
      <c r="A836" s="38" t="n">
        <v>45882</v>
      </c>
      <c r="B836" s="23" t="inlineStr">
        <is>
          <t>Gustavo Primo</t>
        </is>
      </c>
      <c r="C836" s="23" t="inlineStr">
        <is>
          <t>Bajaj OON 66H</t>
        </is>
      </c>
      <c r="D836" s="23" t="inlineStr">
        <is>
          <t>OON66H</t>
        </is>
      </c>
      <c r="H836" s="23" t="n">
        <v>240000</v>
      </c>
      <c r="I836" s="23" t="n">
        <v>240000</v>
      </c>
      <c r="J836" s="23" t="inlineStr">
        <is>
          <t>efectivo</t>
        </is>
      </c>
    </row>
    <row r="837" customFormat="1" s="23">
      <c r="A837" s="38" t="n">
        <v>45890</v>
      </c>
      <c r="B837" s="23" t="inlineStr">
        <is>
          <t>Gustavo Primo</t>
        </is>
      </c>
      <c r="C837" s="23" t="inlineStr">
        <is>
          <t>Bajaj OON 66H</t>
        </is>
      </c>
      <c r="D837" s="23" t="inlineStr">
        <is>
          <t>OON66H</t>
        </is>
      </c>
      <c r="H837" s="23" t="n">
        <v>240000</v>
      </c>
      <c r="I837" s="23" t="n">
        <v>240000</v>
      </c>
      <c r="J837" s="23" t="inlineStr">
        <is>
          <t>efectivo</t>
        </is>
      </c>
    </row>
    <row r="838" customFormat="1" s="23">
      <c r="A838" s="38" t="n">
        <v>45897</v>
      </c>
      <c r="B838" s="23" t="inlineStr">
        <is>
          <t>Gustavo Primo</t>
        </is>
      </c>
      <c r="C838" s="23" t="inlineStr">
        <is>
          <t>Bajaj OON 66H</t>
        </is>
      </c>
      <c r="D838" s="23" t="inlineStr">
        <is>
          <t>OON66H</t>
        </is>
      </c>
      <c r="H838" s="23" t="n">
        <v>240000</v>
      </c>
      <c r="I838" s="23" t="n">
        <v>240000</v>
      </c>
      <c r="J838" s="23" t="inlineStr">
        <is>
          <t>efectivo</t>
        </is>
      </c>
    </row>
    <row r="839" customFormat="1" s="23">
      <c r="A839" s="38" t="n">
        <v>45904</v>
      </c>
      <c r="B839" s="23" t="inlineStr">
        <is>
          <t>Gustavo Primo</t>
        </is>
      </c>
      <c r="C839" s="23" t="inlineStr">
        <is>
          <t>Bajaj OON 66H</t>
        </is>
      </c>
      <c r="D839" s="23" t="inlineStr">
        <is>
          <t>OON66H</t>
        </is>
      </c>
      <c r="H839" s="23" t="n">
        <v>240000</v>
      </c>
      <c r="I839" s="23" t="n">
        <v>240000</v>
      </c>
      <c r="J839" s="23" t="inlineStr">
        <is>
          <t>efectivo</t>
        </is>
      </c>
    </row>
    <row r="840" customFormat="1" s="23">
      <c r="A840" s="38" t="n">
        <v>45911</v>
      </c>
      <c r="B840" s="23" t="inlineStr">
        <is>
          <t>Gustavo Primo</t>
        </is>
      </c>
      <c r="C840" s="23" t="inlineStr">
        <is>
          <t>Bajaj OON 66H</t>
        </is>
      </c>
      <c r="D840" s="23" t="inlineStr">
        <is>
          <t>OON66H</t>
        </is>
      </c>
      <c r="H840" s="23" t="n">
        <v>240000</v>
      </c>
      <c r="I840" s="23" t="n">
        <v>240000</v>
      </c>
      <c r="J840" s="23" t="inlineStr">
        <is>
          <t>efectivo</t>
        </is>
      </c>
    </row>
    <row r="841" customFormat="1" s="23">
      <c r="A841" s="38" t="n">
        <v>45918</v>
      </c>
      <c r="B841" s="23" t="inlineStr">
        <is>
          <t>Gustavo Primo</t>
        </is>
      </c>
      <c r="C841" s="23" t="inlineStr">
        <is>
          <t>Bajaj OON 66H</t>
        </is>
      </c>
      <c r="D841" s="23" t="inlineStr">
        <is>
          <t>OON66H</t>
        </is>
      </c>
      <c r="H841" s="23" t="n">
        <v>240000</v>
      </c>
      <c r="I841" s="23" t="n">
        <v>240000</v>
      </c>
      <c r="J841" s="23" t="inlineStr">
        <is>
          <t>efectivo</t>
        </is>
      </c>
    </row>
    <row r="842" customFormat="1" s="23">
      <c r="A842" s="38" t="n">
        <v>45925</v>
      </c>
      <c r="B842" s="23" t="inlineStr">
        <is>
          <t>Gustavo Primo</t>
        </is>
      </c>
      <c r="C842" s="23" t="inlineStr">
        <is>
          <t>Bajaj OON 66H</t>
        </is>
      </c>
      <c r="D842" s="23" t="inlineStr">
        <is>
          <t>OON66H</t>
        </is>
      </c>
      <c r="H842" s="23" t="n">
        <v>240000</v>
      </c>
      <c r="I842" s="23" t="n">
        <v>240000</v>
      </c>
      <c r="J842" s="23" t="inlineStr">
        <is>
          <t>efectivo</t>
        </is>
      </c>
    </row>
    <row r="843" customFormat="1" s="23">
      <c r="A843" s="38" t="n">
        <v>45939</v>
      </c>
      <c r="B843" s="23" t="inlineStr">
        <is>
          <t>Gustavo Primo</t>
        </is>
      </c>
      <c r="C843" s="23" t="inlineStr">
        <is>
          <t>Bajaj OON 66H</t>
        </is>
      </c>
      <c r="D843" s="23" t="inlineStr">
        <is>
          <t>OON66H</t>
        </is>
      </c>
      <c r="H843" s="23" t="n">
        <v>240000</v>
      </c>
      <c r="I843" s="23" t="n">
        <v>240000</v>
      </c>
      <c r="J843" s="23" t="inlineStr">
        <is>
          <t>efectivo</t>
        </is>
      </c>
    </row>
    <row r="844" customFormat="1" s="23">
      <c r="A844" s="38" t="n">
        <v>45947</v>
      </c>
      <c r="B844" s="23" t="inlineStr">
        <is>
          <t>Gustavo Primo</t>
        </is>
      </c>
      <c r="C844" s="23" t="inlineStr">
        <is>
          <t>Bajaj OON 66H</t>
        </is>
      </c>
      <c r="D844" s="23" t="inlineStr">
        <is>
          <t>OON66H</t>
        </is>
      </c>
      <c r="H844" s="23" t="n">
        <v>240000</v>
      </c>
      <c r="I844" s="23" t="n">
        <v>240000</v>
      </c>
      <c r="J844" s="23" t="inlineStr">
        <is>
          <t>efectivo</t>
        </is>
      </c>
    </row>
    <row r="845" customFormat="1" s="23">
      <c r="A845" s="38" t="n">
        <v>45947</v>
      </c>
      <c r="B845" s="23" t="inlineStr">
        <is>
          <t>Gustavo Primo</t>
        </is>
      </c>
      <c r="C845" s="23" t="inlineStr">
        <is>
          <t>Bajaj OON 66H</t>
        </is>
      </c>
      <c r="D845" s="23" t="inlineStr">
        <is>
          <t>OON66H</t>
        </is>
      </c>
      <c r="H845" s="23" t="n">
        <v>240000</v>
      </c>
      <c r="I845" s="23" t="n">
        <v>240000</v>
      </c>
      <c r="J845" s="23" t="inlineStr">
        <is>
          <t>efectivo</t>
        </is>
      </c>
    </row>
    <row r="846" customFormat="1" s="23">
      <c r="A846" s="38" t="n">
        <v>45954</v>
      </c>
      <c r="B846" s="23" t="inlineStr">
        <is>
          <t>Gustavo Primo</t>
        </is>
      </c>
      <c r="C846" s="23" t="inlineStr">
        <is>
          <t>Bajaj OON 66H</t>
        </is>
      </c>
      <c r="D846" s="23" t="inlineStr">
        <is>
          <t>OON66H</t>
        </is>
      </c>
      <c r="H846" s="23" t="n">
        <v>240000</v>
      </c>
      <c r="I846" s="23" t="n">
        <v>240000</v>
      </c>
      <c r="J846" s="23" t="inlineStr">
        <is>
          <t>efectivo</t>
        </is>
      </c>
    </row>
    <row r="847" customFormat="1" s="23">
      <c r="A847" s="38" t="n">
        <v>45960</v>
      </c>
      <c r="B847" s="23" t="inlineStr">
        <is>
          <t>Gustavo Primo</t>
        </is>
      </c>
      <c r="C847" s="23" t="inlineStr">
        <is>
          <t>Bajaj OON 66H</t>
        </is>
      </c>
      <c r="D847" s="23" t="inlineStr">
        <is>
          <t>OON66H</t>
        </is>
      </c>
      <c r="H847" s="23" t="n">
        <v>240000</v>
      </c>
      <c r="I847" s="23" t="n">
        <v>240000</v>
      </c>
      <c r="J847" s="23" t="inlineStr">
        <is>
          <t>efectivo</t>
        </is>
      </c>
    </row>
    <row r="848" customFormat="1" s="23">
      <c r="A848" s="38" t="n">
        <v>45961</v>
      </c>
      <c r="B848" s="23" t="inlineStr">
        <is>
          <t>Gustavo Primo</t>
        </is>
      </c>
      <c r="C848" s="23" t="inlineStr">
        <is>
          <t>Bajaj OON 66H</t>
        </is>
      </c>
      <c r="D848" s="23" t="inlineStr">
        <is>
          <t>OON66H</t>
        </is>
      </c>
      <c r="H848" s="23" t="n">
        <v>240000</v>
      </c>
      <c r="I848" s="23" t="n">
        <v>240000</v>
      </c>
      <c r="J848" s="23" t="inlineStr">
        <is>
          <t>efectivo</t>
        </is>
      </c>
    </row>
    <row r="849" customFormat="1" s="23">
      <c r="A849" s="38" t="n">
        <v>45980</v>
      </c>
      <c r="B849" s="23" t="inlineStr">
        <is>
          <t>Gustavo Primo</t>
        </is>
      </c>
      <c r="C849" s="23" t="inlineStr">
        <is>
          <t>Bajaj OON 66H</t>
        </is>
      </c>
      <c r="D849" s="23" t="inlineStr">
        <is>
          <t>OON66H</t>
        </is>
      </c>
      <c r="H849" s="23" t="n">
        <v>240000</v>
      </c>
      <c r="I849" s="23" t="n">
        <v>240000</v>
      </c>
      <c r="J849" s="23" t="inlineStr">
        <is>
          <t>efectivo</t>
        </is>
      </c>
    </row>
    <row r="850" customFormat="1" s="23">
      <c r="A850" s="38" t="n">
        <v>45985</v>
      </c>
      <c r="B850" s="23" t="inlineStr">
        <is>
          <t>Gustavo Primo</t>
        </is>
      </c>
      <c r="C850" s="23" t="inlineStr">
        <is>
          <t>Bajaj OON 66H</t>
        </is>
      </c>
      <c r="D850" s="23" t="inlineStr">
        <is>
          <t>OON66H</t>
        </is>
      </c>
      <c r="H850" s="23" t="n">
        <v>240000</v>
      </c>
      <c r="I850" s="23" t="n">
        <v>240000</v>
      </c>
      <c r="J850" s="23" t="inlineStr">
        <is>
          <t>efectivo</t>
        </is>
      </c>
    </row>
    <row r="851" customFormat="1" s="23">
      <c r="A851" s="38" t="n">
        <v>45995</v>
      </c>
      <c r="B851" s="23" t="inlineStr">
        <is>
          <t>Gustavo Primo</t>
        </is>
      </c>
      <c r="C851" s="23" t="inlineStr">
        <is>
          <t>Bajaj OON 66H</t>
        </is>
      </c>
      <c r="D851" s="23" t="inlineStr">
        <is>
          <t>OON66H</t>
        </is>
      </c>
      <c r="H851" s="23" t="n">
        <v>240000</v>
      </c>
      <c r="I851" s="23" t="n">
        <v>240000</v>
      </c>
      <c r="J851" s="23" t="inlineStr">
        <is>
          <t>efectivo</t>
        </is>
      </c>
    </row>
    <row r="852" customFormat="1" s="23">
      <c r="A852" s="38" t="n">
        <v>46002</v>
      </c>
      <c r="B852" s="23" t="inlineStr">
        <is>
          <t>Gustavo Primo</t>
        </is>
      </c>
      <c r="C852" s="23" t="inlineStr">
        <is>
          <t>Bajaj OON 66H</t>
        </is>
      </c>
      <c r="D852" s="23" t="inlineStr">
        <is>
          <t>OON66H</t>
        </is>
      </c>
      <c r="H852" s="23" t="n">
        <v>240000</v>
      </c>
      <c r="I852" s="23" t="n">
        <v>240000</v>
      </c>
      <c r="J852" s="23" t="inlineStr">
        <is>
          <t>efectivo</t>
        </is>
      </c>
    </row>
    <row r="853" customFormat="1" s="23">
      <c r="A853" s="38" t="n">
        <v>46009</v>
      </c>
      <c r="B853" s="23" t="inlineStr">
        <is>
          <t>Gustavo Primo</t>
        </is>
      </c>
      <c r="C853" s="23" t="inlineStr">
        <is>
          <t>Bajaj OON 66H</t>
        </is>
      </c>
      <c r="D853" s="23" t="inlineStr">
        <is>
          <t>OON66H</t>
        </is>
      </c>
      <c r="H853" s="23" t="n">
        <v>240000</v>
      </c>
      <c r="I853" s="23" t="n">
        <v>240000</v>
      </c>
      <c r="J853" s="23" t="inlineStr">
        <is>
          <t>efectivo</t>
        </is>
      </c>
    </row>
    <row r="854" customFormat="1" s="23">
      <c r="A854" s="38" t="n">
        <v>46020</v>
      </c>
      <c r="B854" s="23" t="inlineStr">
        <is>
          <t>Gustavo Primo</t>
        </is>
      </c>
      <c r="C854" s="23" t="inlineStr">
        <is>
          <t>Bajaj OON 66H</t>
        </is>
      </c>
      <c r="D854" s="23" t="inlineStr">
        <is>
          <t>OON66H</t>
        </is>
      </c>
      <c r="H854" s="23" t="n">
        <v>240000</v>
      </c>
      <c r="I854" s="23" t="n">
        <v>240000</v>
      </c>
      <c r="J854" s="23" t="inlineStr">
        <is>
          <t>efectivo</t>
        </is>
      </c>
    </row>
    <row r="855" customFormat="1" s="23">
      <c r="A855" s="38" t="n">
        <v>46020</v>
      </c>
      <c r="B855" s="23" t="inlineStr">
        <is>
          <t>Gustavo Primo</t>
        </is>
      </c>
      <c r="C855" s="23" t="inlineStr">
        <is>
          <t>Bajaj OON 66H</t>
        </is>
      </c>
      <c r="D855" s="23" t="inlineStr">
        <is>
          <t>OON66H</t>
        </is>
      </c>
      <c r="H855" s="23" t="n">
        <v>240000</v>
      </c>
      <c r="I855" s="23" t="n">
        <v>240000</v>
      </c>
      <c r="J855" s="23" t="inlineStr">
        <is>
          <t>efectivo</t>
        </is>
      </c>
    </row>
    <row r="856" customFormat="1" s="23">
      <c r="A856" s="38" t="n">
        <v>46027</v>
      </c>
      <c r="B856" s="23" t="inlineStr">
        <is>
          <t>Gustavo Primo</t>
        </is>
      </c>
      <c r="C856" s="23" t="inlineStr">
        <is>
          <t>Bajaj OON 66H</t>
        </is>
      </c>
      <c r="D856" s="23" t="inlineStr">
        <is>
          <t>OON66H</t>
        </is>
      </c>
      <c r="H856" s="23" t="n">
        <v>240000</v>
      </c>
      <c r="I856" s="23" t="n">
        <v>240000</v>
      </c>
      <c r="J856" s="23" t="inlineStr">
        <is>
          <t>efectivo</t>
        </is>
      </c>
    </row>
    <row r="857" customFormat="1" s="23">
      <c r="A857" s="38" t="n">
        <v>46041</v>
      </c>
      <c r="B857" s="23" t="inlineStr">
        <is>
          <t>Gustavo Primo</t>
        </is>
      </c>
      <c r="C857" s="23" t="inlineStr">
        <is>
          <t>Bajaj OON 66H</t>
        </is>
      </c>
      <c r="D857" s="23" t="inlineStr">
        <is>
          <t>OON66H</t>
        </is>
      </c>
      <c r="H857" s="23" t="n">
        <v>240000</v>
      </c>
      <c r="I857" s="23" t="n">
        <v>240000</v>
      </c>
      <c r="J857" s="23" t="inlineStr">
        <is>
          <t>efectivo</t>
        </is>
      </c>
    </row>
    <row r="858" customFormat="1" s="23">
      <c r="A858" s="38" t="n">
        <v>46050</v>
      </c>
      <c r="B858" s="23" t="inlineStr">
        <is>
          <t>Gustavo Primo</t>
        </is>
      </c>
      <c r="C858" s="23" t="inlineStr">
        <is>
          <t>Bajaj OON 66H</t>
        </is>
      </c>
      <c r="D858" s="23" t="inlineStr">
        <is>
          <t>OON66H</t>
        </is>
      </c>
      <c r="H858" s="23" t="n">
        <v>240000</v>
      </c>
      <c r="I858" s="23" t="n">
        <v>240000</v>
      </c>
      <c r="J858" s="23" t="inlineStr">
        <is>
          <t>efectivo</t>
        </is>
      </c>
    </row>
    <row r="859" customFormat="1" s="23">
      <c r="A859" s="38" t="n">
        <v>46059</v>
      </c>
      <c r="B859" s="23" t="inlineStr">
        <is>
          <t>Gustavo Primo</t>
        </is>
      </c>
      <c r="C859" s="23" t="inlineStr">
        <is>
          <t>Bajaj OON 66H</t>
        </is>
      </c>
      <c r="D859" s="23" t="inlineStr">
        <is>
          <t>OON66H</t>
        </is>
      </c>
      <c r="H859" s="23" t="n">
        <v>240000</v>
      </c>
      <c r="I859" s="23" t="n">
        <v>240000</v>
      </c>
      <c r="J859" s="23" t="inlineStr">
        <is>
          <t>efectivo</t>
        </is>
      </c>
    </row>
    <row r="860" customFormat="1" s="23">
      <c r="A860" s="38" t="n">
        <v>46069</v>
      </c>
      <c r="B860" s="23" t="inlineStr">
        <is>
          <t>Gustavo Primo</t>
        </is>
      </c>
      <c r="C860" s="23" t="inlineStr">
        <is>
          <t>Bajaj OON 66H</t>
        </is>
      </c>
      <c r="D860" s="23" t="inlineStr">
        <is>
          <t>OON66H</t>
        </is>
      </c>
      <c r="H860" s="23" t="n">
        <v>240000</v>
      </c>
      <c r="I860" s="23" t="n">
        <v>240000</v>
      </c>
      <c r="J860" s="23" t="inlineStr">
        <is>
          <t>efectivo</t>
        </is>
      </c>
    </row>
    <row r="861" customFormat="1" s="23">
      <c r="A861" s="38" t="n">
        <v>46074</v>
      </c>
      <c r="B861" s="23" t="inlineStr">
        <is>
          <t>Gustavo Primo</t>
        </is>
      </c>
      <c r="C861" s="23" t="inlineStr">
        <is>
          <t>Bajaj OON 66H</t>
        </is>
      </c>
      <c r="D861" s="23" t="inlineStr">
        <is>
          <t>OON66H</t>
        </is>
      </c>
      <c r="H861" s="23" t="n">
        <v>240000</v>
      </c>
      <c r="I861" s="23" t="n">
        <v>240000</v>
      </c>
      <c r="J861" s="23" t="inlineStr">
        <is>
          <t>efectivo</t>
        </is>
      </c>
    </row>
    <row r="862" customFormat="1" s="23">
      <c r="A862" s="38" t="n">
        <v>46079</v>
      </c>
      <c r="B862" s="23" t="inlineStr">
        <is>
          <t>Gustavo Primo</t>
        </is>
      </c>
      <c r="C862" s="23" t="inlineStr">
        <is>
          <t>Bajaj OON 66H</t>
        </is>
      </c>
      <c r="D862" s="23" t="inlineStr">
        <is>
          <t>OON66H</t>
        </is>
      </c>
      <c r="H862" s="23" t="n">
        <v>240000</v>
      </c>
      <c r="I862" s="23" t="n">
        <v>240000</v>
      </c>
      <c r="J862" s="23" t="inlineStr">
        <is>
          <t>efectivo</t>
        </is>
      </c>
    </row>
    <row r="863" customFormat="1" s="23">
      <c r="A863" s="38" t="n">
        <v>46088</v>
      </c>
      <c r="B863" s="23" t="inlineStr">
        <is>
          <t>Gustavo Primo</t>
        </is>
      </c>
      <c r="C863" s="23" t="inlineStr">
        <is>
          <t>Bajaj OON 66H</t>
        </is>
      </c>
      <c r="D863" s="23" t="inlineStr">
        <is>
          <t>OON66H</t>
        </is>
      </c>
      <c r="H863" s="23" t="n">
        <v>240000</v>
      </c>
      <c r="I863" s="23" t="n">
        <v>240000</v>
      </c>
      <c r="J863" s="23" t="inlineStr">
        <is>
          <t>efectivo</t>
        </is>
      </c>
    </row>
    <row r="864" customFormat="1" s="23">
      <c r="A864" s="38" t="n">
        <v>46093</v>
      </c>
      <c r="B864" s="23" t="inlineStr">
        <is>
          <t>Gustavo Primo</t>
        </is>
      </c>
      <c r="C864" s="23" t="inlineStr">
        <is>
          <t>Bajaj OON 66H</t>
        </is>
      </c>
      <c r="D864" s="23" t="inlineStr">
        <is>
          <t>OON66H</t>
        </is>
      </c>
      <c r="H864" s="23" t="n">
        <v>240000</v>
      </c>
      <c r="I864" s="23" t="n">
        <v>240000</v>
      </c>
      <c r="J864" s="23" t="inlineStr">
        <is>
          <t>efectivo</t>
        </is>
      </c>
    </row>
    <row r="865" customFormat="1" s="23">
      <c r="A865" s="38" t="n">
        <v>46113</v>
      </c>
      <c r="B865" s="23" t="inlineStr">
        <is>
          <t>Gustavo Primo</t>
        </is>
      </c>
      <c r="C865" s="23" t="inlineStr">
        <is>
          <t>Bajaj OON 66H</t>
        </is>
      </c>
      <c r="D865" s="23" t="inlineStr">
        <is>
          <t>OON66H</t>
        </is>
      </c>
      <c r="H865" s="23" t="n">
        <v>240000</v>
      </c>
      <c r="I865" s="23" t="n">
        <v>240000</v>
      </c>
      <c r="J865" s="23" t="inlineStr">
        <is>
          <t>efectivo</t>
        </is>
      </c>
    </row>
    <row r="866" customFormat="1" s="23">
      <c r="A866" s="38" t="n">
        <v>46113</v>
      </c>
      <c r="B866" s="23" t="inlineStr">
        <is>
          <t>Gustavo Primo</t>
        </is>
      </c>
      <c r="C866" s="23" t="inlineStr">
        <is>
          <t>Bajaj OON 66H</t>
        </is>
      </c>
      <c r="D866" s="23" t="inlineStr">
        <is>
          <t>OON66H</t>
        </is>
      </c>
      <c r="H866" s="23" t="n">
        <v>240000</v>
      </c>
      <c r="I866" s="23" t="n">
        <v>240000</v>
      </c>
      <c r="J866" s="23" t="inlineStr">
        <is>
          <t>efectivo</t>
        </is>
      </c>
    </row>
    <row r="867" customFormat="1" s="23">
      <c r="A867" s="38" t="n">
        <v>46123</v>
      </c>
      <c r="B867" s="23" t="inlineStr">
        <is>
          <t>Gustavo Primo</t>
        </is>
      </c>
      <c r="C867" s="23" t="inlineStr">
        <is>
          <t>Bajaj OON 66H</t>
        </is>
      </c>
      <c r="D867" s="23" t="inlineStr">
        <is>
          <t>OON66H</t>
        </is>
      </c>
      <c r="H867" s="23" t="n">
        <v>240000</v>
      </c>
      <c r="I867" s="23" t="n">
        <v>240000</v>
      </c>
      <c r="J867" s="23" t="inlineStr">
        <is>
          <t>efectivo</t>
        </is>
      </c>
    </row>
    <row r="868" customFormat="1" s="23">
      <c r="A868" s="38" t="n">
        <v>46123</v>
      </c>
      <c r="B868" s="23" t="inlineStr">
        <is>
          <t>Gustavo Primo</t>
        </is>
      </c>
      <c r="C868" s="23" t="inlineStr">
        <is>
          <t>Bajaj OON 66H</t>
        </is>
      </c>
      <c r="D868" s="23" t="inlineStr">
        <is>
          <t>OON66H</t>
        </is>
      </c>
      <c r="H868" s="23" t="n">
        <v>240000</v>
      </c>
      <c r="I868" s="23" t="n">
        <v>240000</v>
      </c>
      <c r="J868" s="23" t="inlineStr">
        <is>
          <t>efectivo</t>
        </is>
      </c>
    </row>
    <row r="869" customFormat="1" s="23">
      <c r="A869" s="38" t="n">
        <v>46134</v>
      </c>
      <c r="B869" s="23" t="inlineStr">
        <is>
          <t>Gustavo Primo</t>
        </is>
      </c>
      <c r="C869" s="23" t="inlineStr">
        <is>
          <t>Bajaj OON 66H</t>
        </is>
      </c>
      <c r="D869" s="23" t="inlineStr">
        <is>
          <t>OON66H</t>
        </is>
      </c>
      <c r="H869" s="23" t="n">
        <v>240000</v>
      </c>
      <c r="I869" s="23" t="n">
        <v>240000</v>
      </c>
      <c r="J869" s="23" t="inlineStr">
        <is>
          <t>efectivo</t>
        </is>
      </c>
    </row>
    <row r="870" customFormat="1" s="23">
      <c r="A870" s="38" t="n">
        <v>46142</v>
      </c>
      <c r="B870" s="23" t="inlineStr">
        <is>
          <t>Gustavo Primo</t>
        </is>
      </c>
      <c r="C870" s="23" t="inlineStr">
        <is>
          <t>Bajaj OON 66H</t>
        </is>
      </c>
      <c r="D870" s="23" t="inlineStr">
        <is>
          <t>OON66H</t>
        </is>
      </c>
      <c r="H870" s="23" t="n">
        <v>240000</v>
      </c>
      <c r="I870" s="23" t="n">
        <v>240000</v>
      </c>
      <c r="J870" s="23" t="inlineStr">
        <is>
          <t>efectivo</t>
        </is>
      </c>
    </row>
    <row r="871" customFormat="1" s="23">
      <c r="A871" s="38" t="n">
        <v>46150</v>
      </c>
      <c r="B871" s="23" t="inlineStr">
        <is>
          <t>Gustavo Primo</t>
        </is>
      </c>
      <c r="C871" s="23" t="inlineStr">
        <is>
          <t>Bajaj OON 66H</t>
        </is>
      </c>
      <c r="D871" s="23" t="inlineStr">
        <is>
          <t>OON66H</t>
        </is>
      </c>
      <c r="H871" s="23" t="n">
        <v>240000</v>
      </c>
      <c r="I871" s="23" t="n">
        <v>240000</v>
      </c>
      <c r="J871" s="23" t="inlineStr">
        <is>
          <t>efectivo</t>
        </is>
      </c>
    </row>
    <row r="872" customFormat="1" s="23">
      <c r="A872" s="38" t="n">
        <v>46158</v>
      </c>
      <c r="B872" s="23" t="inlineStr">
        <is>
          <t>Gustavo Primo</t>
        </is>
      </c>
      <c r="C872" s="23" t="inlineStr">
        <is>
          <t>Bajaj OON 66H</t>
        </is>
      </c>
      <c r="D872" s="23" t="inlineStr">
        <is>
          <t>OON66H</t>
        </is>
      </c>
      <c r="H872" s="23" t="n">
        <v>240000</v>
      </c>
      <c r="I872" s="23" t="n">
        <v>240000</v>
      </c>
      <c r="J872" s="23" t="inlineStr">
        <is>
          <t>efectivo</t>
        </is>
      </c>
    </row>
    <row r="873" customFormat="1" s="23">
      <c r="A873" s="38" t="n">
        <v>46165</v>
      </c>
      <c r="B873" s="23" t="inlineStr">
        <is>
          <t>Gustavo Primo</t>
        </is>
      </c>
      <c r="C873" s="23" t="inlineStr">
        <is>
          <t>Bajaj OON 66H</t>
        </is>
      </c>
      <c r="D873" s="23" t="inlineStr">
        <is>
          <t>OON66H</t>
        </is>
      </c>
      <c r="H873" s="23" t="n">
        <v>240000</v>
      </c>
      <c r="I873" s="23" t="n">
        <v>240000</v>
      </c>
      <c r="J873" s="23" t="inlineStr">
        <is>
          <t>efectivo</t>
        </is>
      </c>
    </row>
    <row r="874" customFormat="1" s="23">
      <c r="A874" s="38" t="n">
        <v>46172</v>
      </c>
      <c r="B874" s="23" t="inlineStr">
        <is>
          <t>Gustavo Primo</t>
        </is>
      </c>
      <c r="C874" s="23" t="inlineStr">
        <is>
          <t>Bajaj OON 66H</t>
        </is>
      </c>
      <c r="D874" s="23" t="inlineStr">
        <is>
          <t>OON66H</t>
        </is>
      </c>
      <c r="H874" s="23" t="n">
        <v>240000</v>
      </c>
      <c r="I874" s="23" t="n">
        <v>240000</v>
      </c>
      <c r="J874" s="23" t="inlineStr">
        <is>
          <t>efectivo</t>
        </is>
      </c>
    </row>
    <row r="875" customFormat="1" s="23">
      <c r="A875" s="38" t="n">
        <v>46176</v>
      </c>
      <c r="B875" s="23" t="inlineStr">
        <is>
          <t>Gustavo Primo</t>
        </is>
      </c>
      <c r="C875" s="23" t="inlineStr">
        <is>
          <t>Bajaj OON 66H</t>
        </is>
      </c>
      <c r="D875" s="23" t="inlineStr">
        <is>
          <t>OON66H</t>
        </is>
      </c>
      <c r="H875" s="23" t="n">
        <v>240000</v>
      </c>
      <c r="I875" s="23" t="n">
        <v>240000</v>
      </c>
      <c r="J875" s="23" t="inlineStr">
        <is>
          <t>efectivo</t>
        </is>
      </c>
    </row>
    <row r="876" customFormat="1" s="23">
      <c r="A876" s="38" t="n">
        <v>46193</v>
      </c>
      <c r="B876" s="23" t="inlineStr">
        <is>
          <t>Gustavo Primo</t>
        </is>
      </c>
      <c r="C876" s="23" t="inlineStr">
        <is>
          <t>Bajaj OON 66H</t>
        </is>
      </c>
      <c r="D876" s="23" t="inlineStr">
        <is>
          <t>OON66H</t>
        </is>
      </c>
      <c r="H876" s="23" t="n">
        <v>240000</v>
      </c>
      <c r="I876" s="23" t="n">
        <v>240000</v>
      </c>
      <c r="J876" s="23" t="inlineStr">
        <is>
          <t>efectivo</t>
        </is>
      </c>
    </row>
    <row r="877" customFormat="1" s="23">
      <c r="A877" s="38" t="n">
        <v>46193</v>
      </c>
      <c r="B877" s="23" t="inlineStr">
        <is>
          <t>Gustavo Primo</t>
        </is>
      </c>
      <c r="C877" s="23" t="inlineStr">
        <is>
          <t>Bajaj OON 66H</t>
        </is>
      </c>
      <c r="D877" s="23" t="inlineStr">
        <is>
          <t>OON66H</t>
        </is>
      </c>
      <c r="H877" s="23" t="n">
        <v>240000</v>
      </c>
      <c r="I877" s="23" t="n">
        <v>240000</v>
      </c>
      <c r="J877" s="23" t="inlineStr">
        <is>
          <t>efectivo</t>
        </is>
      </c>
    </row>
    <row r="878" customFormat="1" s="23">
      <c r="A878" s="38" t="n">
        <v>46206</v>
      </c>
      <c r="B878" s="23" t="inlineStr">
        <is>
          <t>Gustavo Primo</t>
        </is>
      </c>
      <c r="C878" s="23" t="inlineStr">
        <is>
          <t>Bajaj OON 66H</t>
        </is>
      </c>
      <c r="D878" s="23" t="inlineStr">
        <is>
          <t>OON66H</t>
        </is>
      </c>
      <c r="H878" s="23" t="n">
        <v>240000</v>
      </c>
      <c r="I878" s="23" t="n">
        <v>240000</v>
      </c>
      <c r="J878" s="23" t="inlineStr">
        <is>
          <t>efectivo</t>
        </is>
      </c>
    </row>
    <row r="879" customFormat="1" s="23">
      <c r="A879" s="38" t="n">
        <v>46206</v>
      </c>
      <c r="B879" s="23" t="inlineStr">
        <is>
          <t>Gustavo Primo</t>
        </is>
      </c>
      <c r="C879" s="23" t="inlineStr">
        <is>
          <t>Bajaj OON 66H</t>
        </is>
      </c>
      <c r="D879" s="23" t="inlineStr">
        <is>
          <t>OON66H</t>
        </is>
      </c>
      <c r="H879" s="23" t="n">
        <v>240000</v>
      </c>
      <c r="I879" s="23" t="n">
        <v>240000</v>
      </c>
      <c r="J879" s="23" t="inlineStr">
        <is>
          <t>efectivo</t>
        </is>
      </c>
    </row>
    <row r="880" customFormat="1" s="23">
      <c r="A880" s="38" t="n">
        <v>46221</v>
      </c>
      <c r="B880" s="23" t="inlineStr">
        <is>
          <t>Gustavo Primo</t>
        </is>
      </c>
      <c r="C880" s="23" t="inlineStr">
        <is>
          <t>Bajaj OON 66H</t>
        </is>
      </c>
      <c r="D880" s="23" t="inlineStr">
        <is>
          <t>OON66H</t>
        </is>
      </c>
      <c r="H880" s="23" t="n">
        <v>240000</v>
      </c>
      <c r="I880" s="23" t="n">
        <v>240000</v>
      </c>
      <c r="J880" s="23" t="inlineStr">
        <is>
          <t>efectivo</t>
        </is>
      </c>
    </row>
    <row r="881" hidden="1" customFormat="1" s="23">
      <c r="A881" s="38" t="n">
        <v>45900</v>
      </c>
      <c r="B881" s="23" t="inlineStr">
        <is>
          <t>Erik</t>
        </is>
      </c>
      <c r="C881" s="23" t="inlineStr">
        <is>
          <t>Bajaj OUN 39H</t>
        </is>
      </c>
      <c r="D881" s="23" t="inlineStr">
        <is>
          <t>OUN39H</t>
        </is>
      </c>
      <c r="H881" s="23" t="n">
        <v>420000</v>
      </c>
      <c r="I881" s="23" t="n">
        <v>422000</v>
      </c>
      <c r="J881" s="23" t="inlineStr">
        <is>
          <t>efectivo</t>
        </is>
      </c>
    </row>
    <row r="882" hidden="1" customFormat="1" s="23">
      <c r="A882" s="38" t="n">
        <v>45904</v>
      </c>
      <c r="B882" s="23" t="inlineStr">
        <is>
          <t>Erik</t>
        </is>
      </c>
      <c r="C882" s="23" t="inlineStr">
        <is>
          <t>Bajaj OUN 39H</t>
        </is>
      </c>
      <c r="D882" s="23" t="inlineStr">
        <is>
          <t>OUN39H</t>
        </is>
      </c>
      <c r="H882" s="23" t="n">
        <v>420000</v>
      </c>
      <c r="I882" s="23" t="n">
        <v>420000</v>
      </c>
      <c r="J882" s="23" t="inlineStr">
        <is>
          <t>efectivo</t>
        </is>
      </c>
    </row>
    <row r="883" hidden="1" customFormat="1" s="23">
      <c r="A883" s="38" t="n">
        <v>45937</v>
      </c>
      <c r="B883" s="23" t="inlineStr">
        <is>
          <t>Erik</t>
        </is>
      </c>
      <c r="C883" s="23" t="inlineStr">
        <is>
          <t>Bajaj OUN 39H</t>
        </is>
      </c>
      <c r="D883" s="23" t="inlineStr">
        <is>
          <t>OUN39H</t>
        </is>
      </c>
      <c r="H883" s="23" t="n">
        <v>420000</v>
      </c>
      <c r="I883" s="23" t="n">
        <v>420000</v>
      </c>
      <c r="J883" s="23" t="inlineStr">
        <is>
          <t>efectivo</t>
        </is>
      </c>
    </row>
    <row r="884" hidden="1" customFormat="1" s="23">
      <c r="A884" s="38" t="n">
        <v>45969</v>
      </c>
      <c r="B884" s="23" t="inlineStr">
        <is>
          <t>Erik</t>
        </is>
      </c>
      <c r="C884" s="23" t="inlineStr">
        <is>
          <t>Bajaj OUN 39H</t>
        </is>
      </c>
      <c r="D884" s="23" t="inlineStr">
        <is>
          <t>OUN39H</t>
        </is>
      </c>
      <c r="H884" s="23" t="n">
        <v>420000</v>
      </c>
      <c r="I884" s="23" t="n">
        <v>420000</v>
      </c>
      <c r="J884" s="23" t="inlineStr">
        <is>
          <t>efectivo</t>
        </is>
      </c>
    </row>
    <row r="885" hidden="1" customFormat="1" s="23">
      <c r="A885" s="38" t="n">
        <v>45995</v>
      </c>
      <c r="B885" s="23" t="inlineStr">
        <is>
          <t>Erik</t>
        </is>
      </c>
      <c r="C885" s="23" t="inlineStr">
        <is>
          <t>Bajaj OUN 39H</t>
        </is>
      </c>
      <c r="D885" s="23" t="inlineStr">
        <is>
          <t>OUN39H</t>
        </is>
      </c>
      <c r="H885" s="23" t="n">
        <v>420000</v>
      </c>
      <c r="I885" s="23" t="n">
        <v>420000</v>
      </c>
      <c r="J885" s="23" t="inlineStr">
        <is>
          <t>efectivo</t>
        </is>
      </c>
    </row>
    <row r="886" hidden="1" customFormat="1" s="23">
      <c r="A886" s="38" t="n">
        <v>46027</v>
      </c>
      <c r="B886" s="23" t="inlineStr">
        <is>
          <t>Erik</t>
        </is>
      </c>
      <c r="C886" s="23" t="inlineStr">
        <is>
          <t>Bajaj OUN 39H</t>
        </is>
      </c>
      <c r="D886" s="23" t="inlineStr">
        <is>
          <t>OUN39H</t>
        </is>
      </c>
      <c r="H886" s="23" t="n">
        <v>420000</v>
      </c>
      <c r="I886" s="23" t="n">
        <v>429000</v>
      </c>
      <c r="J886" s="23" t="inlineStr">
        <is>
          <t>efectivo</t>
        </is>
      </c>
    </row>
    <row r="887" hidden="1" customFormat="1" s="23">
      <c r="A887" s="38" t="n">
        <v>46063</v>
      </c>
      <c r="B887" s="23" t="inlineStr">
        <is>
          <t>Erik</t>
        </is>
      </c>
      <c r="C887" s="23" t="inlineStr">
        <is>
          <t>Bajaj OUN 39H</t>
        </is>
      </c>
      <c r="D887" s="23" t="inlineStr">
        <is>
          <t>OUN39H</t>
        </is>
      </c>
      <c r="H887" s="23" t="n">
        <v>420000</v>
      </c>
      <c r="I887" s="23" t="n">
        <v>429000</v>
      </c>
      <c r="J887" s="23" t="inlineStr">
        <is>
          <t>efectivo</t>
        </is>
      </c>
    </row>
    <row r="888" hidden="1" customFormat="1" s="23">
      <c r="A888" s="38" t="n">
        <v>46082</v>
      </c>
      <c r="B888" s="23" t="inlineStr">
        <is>
          <t>Erik</t>
        </is>
      </c>
      <c r="C888" s="23" t="inlineStr">
        <is>
          <t>Bajaj OUN 39H</t>
        </is>
      </c>
      <c r="D888" s="23" t="inlineStr">
        <is>
          <t>OUN39H</t>
        </is>
      </c>
      <c r="H888" s="23" t="n">
        <v>420000</v>
      </c>
      <c r="I888" s="23" t="n">
        <v>429000</v>
      </c>
      <c r="J888" s="23" t="inlineStr">
        <is>
          <t>efectivo</t>
        </is>
      </c>
    </row>
    <row r="889" hidden="1" customFormat="1" s="23">
      <c r="A889" s="38" t="n">
        <v>46121</v>
      </c>
      <c r="B889" s="23" t="inlineStr">
        <is>
          <t>Erik</t>
        </is>
      </c>
      <c r="C889" s="23" t="inlineStr">
        <is>
          <t>Bajaj OUN 39H</t>
        </is>
      </c>
      <c r="D889" s="23" t="inlineStr">
        <is>
          <t>OUN39H</t>
        </is>
      </c>
      <c r="H889" s="23" t="n">
        <v>420000</v>
      </c>
      <c r="I889" s="23" t="n">
        <v>429000</v>
      </c>
      <c r="J889" s="23" t="inlineStr">
        <is>
          <t>efectivo</t>
        </is>
      </c>
    </row>
    <row r="890" hidden="1" customFormat="1" s="23">
      <c r="A890" s="38" t="n">
        <v>46147</v>
      </c>
      <c r="B890" s="23" t="inlineStr">
        <is>
          <t>Erik</t>
        </is>
      </c>
      <c r="C890" s="23" t="inlineStr">
        <is>
          <t>Bajaj OUN 39H</t>
        </is>
      </c>
      <c r="D890" s="23" t="inlineStr">
        <is>
          <t>OUN39H</t>
        </is>
      </c>
      <c r="H890" s="23" t="n">
        <v>420000</v>
      </c>
      <c r="I890" s="23" t="n">
        <v>420000</v>
      </c>
      <c r="J890" s="23" t="inlineStr">
        <is>
          <t>efectivo</t>
        </is>
      </c>
    </row>
    <row r="891" hidden="1" customFormat="1" s="23">
      <c r="A891" s="38" t="n">
        <v>46180</v>
      </c>
      <c r="B891" s="23" t="inlineStr">
        <is>
          <t>Erik</t>
        </is>
      </c>
      <c r="C891" s="23" t="inlineStr">
        <is>
          <t>Bajaj OUN 39H</t>
        </is>
      </c>
      <c r="D891" s="23" t="inlineStr">
        <is>
          <t>OUN39H</t>
        </is>
      </c>
      <c r="H891" s="23" t="n">
        <v>420000</v>
      </c>
      <c r="I891" s="23" t="n">
        <v>420000</v>
      </c>
      <c r="J891" s="23" t="inlineStr">
        <is>
          <t>efectivo</t>
        </is>
      </c>
    </row>
    <row r="892" hidden="1" customFormat="1" s="23">
      <c r="A892" s="38" t="n">
        <v>46219</v>
      </c>
      <c r="B892" s="23" t="inlineStr">
        <is>
          <t>Erik</t>
        </is>
      </c>
      <c r="C892" s="23" t="inlineStr">
        <is>
          <t>Bajaj OUN 39H</t>
        </is>
      </c>
      <c r="D892" s="23" t="inlineStr">
        <is>
          <t>OUN39H</t>
        </is>
      </c>
      <c r="H892" s="23" t="n">
        <v>420000</v>
      </c>
      <c r="I892" s="23" t="n">
        <v>420000</v>
      </c>
      <c r="J892" s="23" t="inlineStr">
        <is>
          <t>efectivo</t>
        </is>
      </c>
    </row>
    <row r="893" hidden="1" customFormat="1" s="23">
      <c r="A893" s="38" t="n">
        <v>45912</v>
      </c>
      <c r="B893" s="23" t="inlineStr">
        <is>
          <t>Efrain</t>
        </is>
      </c>
      <c r="C893" s="23" t="inlineStr">
        <is>
          <t>Bajaj OTZ 01H</t>
        </is>
      </c>
      <c r="D893" s="23" t="inlineStr">
        <is>
          <t>OTZ01H</t>
        </is>
      </c>
      <c r="H893" s="23" t="n">
        <v>240000</v>
      </c>
      <c r="I893" s="23" t="n">
        <v>245000</v>
      </c>
      <c r="J893" s="23" t="inlineStr">
        <is>
          <t>efectivo</t>
        </is>
      </c>
    </row>
    <row r="894" hidden="1" customFormat="1" s="23">
      <c r="A894" s="38" t="n">
        <v>45919</v>
      </c>
      <c r="B894" s="23" t="inlineStr">
        <is>
          <t>Efrain</t>
        </is>
      </c>
      <c r="C894" s="23" t="inlineStr">
        <is>
          <t>Bajaj OTZ 01H</t>
        </is>
      </c>
      <c r="D894" s="23" t="inlineStr">
        <is>
          <t>OTZ01H</t>
        </is>
      </c>
      <c r="H894" s="23" t="n">
        <v>240000</v>
      </c>
      <c r="I894" s="23" t="n">
        <v>240000</v>
      </c>
      <c r="J894" s="23" t="inlineStr">
        <is>
          <t>efectivo</t>
        </is>
      </c>
    </row>
    <row r="895" hidden="1" customFormat="1" s="23">
      <c r="A895" s="38" t="n">
        <v>45926</v>
      </c>
      <c r="B895" s="23" t="inlineStr">
        <is>
          <t>Efrain</t>
        </is>
      </c>
      <c r="C895" s="23" t="inlineStr">
        <is>
          <t>Bajaj OTZ 01H</t>
        </is>
      </c>
      <c r="D895" s="23" t="inlineStr">
        <is>
          <t>OTZ01H</t>
        </is>
      </c>
      <c r="H895" s="23" t="n">
        <v>240000</v>
      </c>
      <c r="I895" s="23" t="n">
        <v>240000</v>
      </c>
      <c r="J895" s="23" t="inlineStr">
        <is>
          <t>efectivo</t>
        </is>
      </c>
    </row>
    <row r="896" hidden="1" customFormat="1" s="23">
      <c r="A896" s="38" t="n">
        <v>45933</v>
      </c>
      <c r="B896" s="23" t="inlineStr">
        <is>
          <t>Efrain</t>
        </is>
      </c>
      <c r="C896" s="23" t="inlineStr">
        <is>
          <t>Bajaj OTZ 01H</t>
        </is>
      </c>
      <c r="D896" s="23" t="inlineStr">
        <is>
          <t>OTZ01H</t>
        </is>
      </c>
      <c r="H896" s="23" t="n">
        <v>240000</v>
      </c>
      <c r="I896" s="23" t="n">
        <v>240000</v>
      </c>
      <c r="J896" s="23" t="inlineStr">
        <is>
          <t>efectivo</t>
        </is>
      </c>
    </row>
    <row r="897" hidden="1" customFormat="1" s="23">
      <c r="A897" s="38" t="n">
        <v>45940</v>
      </c>
      <c r="B897" s="23" t="inlineStr">
        <is>
          <t>Efrain</t>
        </is>
      </c>
      <c r="C897" s="23" t="inlineStr">
        <is>
          <t>Bajaj OTZ 01H</t>
        </is>
      </c>
      <c r="D897" s="23" t="inlineStr">
        <is>
          <t>OTZ01H</t>
        </is>
      </c>
      <c r="H897" s="23" t="n">
        <v>240000</v>
      </c>
      <c r="I897" s="23" t="n">
        <v>260000</v>
      </c>
      <c r="J897" s="23" t="inlineStr">
        <is>
          <t>efectivo</t>
        </is>
      </c>
    </row>
    <row r="898" hidden="1" customFormat="1" s="23">
      <c r="A898" s="38" t="n">
        <v>45965</v>
      </c>
      <c r="B898" s="23" t="inlineStr">
        <is>
          <t>Efrain</t>
        </is>
      </c>
      <c r="C898" s="23" t="inlineStr">
        <is>
          <t>Bajaj OTZ 01H</t>
        </is>
      </c>
      <c r="D898" s="23" t="inlineStr">
        <is>
          <t>OTZ01H</t>
        </is>
      </c>
      <c r="H898" s="23" t="n">
        <v>240000</v>
      </c>
      <c r="I898" s="23" t="n">
        <v>500000</v>
      </c>
      <c r="J898" s="23" t="inlineStr">
        <is>
          <t>efectivo</t>
        </is>
      </c>
    </row>
    <row r="899" hidden="1" customFormat="1" s="23">
      <c r="A899" s="38" t="n">
        <v>45978</v>
      </c>
      <c r="B899" s="23" t="inlineStr">
        <is>
          <t>Efrain</t>
        </is>
      </c>
      <c r="C899" s="23" t="inlineStr">
        <is>
          <t>Bajaj OTZ 01H</t>
        </is>
      </c>
      <c r="D899" s="23" t="inlineStr">
        <is>
          <t>OTZ01H</t>
        </is>
      </c>
      <c r="H899" s="23" t="n">
        <v>240000</v>
      </c>
      <c r="I899" s="23" t="n">
        <v>400000</v>
      </c>
      <c r="J899" s="23" t="inlineStr">
        <is>
          <t>efectivo</t>
        </is>
      </c>
    </row>
    <row r="900" hidden="1" customFormat="1" s="23">
      <c r="A900" s="38" t="n">
        <v>46002</v>
      </c>
      <c r="B900" s="23" t="inlineStr">
        <is>
          <t>Efrain</t>
        </is>
      </c>
      <c r="C900" s="23" t="inlineStr">
        <is>
          <t>Bajaj OTZ 01H</t>
        </is>
      </c>
      <c r="D900" s="23" t="inlineStr">
        <is>
          <t>OTZ01H</t>
        </is>
      </c>
      <c r="H900" s="23" t="n">
        <v>240000</v>
      </c>
      <c r="I900" s="23" t="n">
        <v>600000</v>
      </c>
      <c r="J900" s="23" t="inlineStr">
        <is>
          <t>efectivo</t>
        </is>
      </c>
    </row>
    <row r="901" hidden="1" customFormat="1" s="23">
      <c r="A901" s="38" t="n">
        <v>46008</v>
      </c>
      <c r="B901" s="23" t="inlineStr">
        <is>
          <t>Efrain</t>
        </is>
      </c>
      <c r="C901" s="23" t="inlineStr">
        <is>
          <t>Bajaj OTZ 01H</t>
        </is>
      </c>
      <c r="D901" s="23" t="inlineStr">
        <is>
          <t>OTZ01H</t>
        </is>
      </c>
      <c r="H901" s="23" t="n">
        <v>240000</v>
      </c>
      <c r="I901" s="23" t="n">
        <v>560000</v>
      </c>
      <c r="J901" s="23" t="inlineStr">
        <is>
          <t>efectivo</t>
        </is>
      </c>
    </row>
    <row r="902" hidden="1" customFormat="1" s="23">
      <c r="A902" s="38" t="n">
        <v>46027</v>
      </c>
      <c r="B902" s="23" t="inlineStr">
        <is>
          <t>Efrain</t>
        </is>
      </c>
      <c r="C902" s="23" t="inlineStr">
        <is>
          <t>Bajaj OTZ 01H</t>
        </is>
      </c>
      <c r="D902" s="23" t="inlineStr">
        <is>
          <t>OTZ01H</t>
        </is>
      </c>
      <c r="H902" s="23" t="n">
        <v>240000</v>
      </c>
      <c r="I902" s="23" t="n">
        <v>200000</v>
      </c>
      <c r="J902" s="23" t="inlineStr">
        <is>
          <t>efectivo</t>
        </is>
      </c>
    </row>
    <row r="903" hidden="1" customFormat="1" s="23">
      <c r="A903" s="38" t="n">
        <v>46045</v>
      </c>
      <c r="B903" s="23" t="inlineStr">
        <is>
          <t>Efrain</t>
        </is>
      </c>
      <c r="C903" s="23" t="inlineStr">
        <is>
          <t>Bajaj OTZ 01H</t>
        </is>
      </c>
      <c r="D903" s="23" t="inlineStr">
        <is>
          <t>OTZ01H</t>
        </is>
      </c>
      <c r="H903" s="23" t="n">
        <v>240000</v>
      </c>
      <c r="I903" s="23" t="n">
        <v>760000</v>
      </c>
      <c r="J903" s="23" t="inlineStr">
        <is>
          <t>efectivo</t>
        </is>
      </c>
    </row>
    <row r="904" hidden="1" customFormat="1" s="23">
      <c r="A904" s="38" t="n">
        <v>46070</v>
      </c>
      <c r="B904" s="23" t="inlineStr">
        <is>
          <t>Efrain</t>
        </is>
      </c>
      <c r="C904" s="23" t="inlineStr">
        <is>
          <t>Bajaj OTZ 01H</t>
        </is>
      </c>
      <c r="D904" s="23" t="inlineStr">
        <is>
          <t>OTZ01H</t>
        </is>
      </c>
      <c r="H904" s="23" t="n">
        <v>240000</v>
      </c>
      <c r="I904" s="23" t="n">
        <v>960000</v>
      </c>
      <c r="J904" s="23" t="inlineStr">
        <is>
          <t>efectivo</t>
        </is>
      </c>
    </row>
    <row r="905" hidden="1" customFormat="1" s="23">
      <c r="A905" s="38" t="n">
        <v>46088</v>
      </c>
      <c r="B905" s="23" t="inlineStr">
        <is>
          <t>Efrain</t>
        </is>
      </c>
      <c r="C905" s="23" t="inlineStr">
        <is>
          <t>Bajaj OTZ 01H</t>
        </is>
      </c>
      <c r="D905" s="23" t="inlineStr">
        <is>
          <t>OTZ01H</t>
        </is>
      </c>
      <c r="H905" s="23" t="n">
        <v>240000</v>
      </c>
      <c r="I905" s="23" t="n">
        <v>480000</v>
      </c>
      <c r="J905" s="23" t="inlineStr">
        <is>
          <t>efectivo</t>
        </is>
      </c>
    </row>
    <row r="906" hidden="1" customFormat="1" s="23">
      <c r="A906" s="38" t="n">
        <v>46101</v>
      </c>
      <c r="B906" s="23" t="inlineStr">
        <is>
          <t>Efrain</t>
        </is>
      </c>
      <c r="C906" s="23" t="inlineStr">
        <is>
          <t>Bajaj OTZ 01H</t>
        </is>
      </c>
      <c r="D906" s="23" t="inlineStr">
        <is>
          <t>OTZ01H</t>
        </is>
      </c>
      <c r="H906" s="23" t="n">
        <v>240000</v>
      </c>
      <c r="I906" s="23" t="n">
        <v>480000</v>
      </c>
      <c r="J906" s="23" t="inlineStr">
        <is>
          <t>efectivo</t>
        </is>
      </c>
    </row>
    <row r="907" hidden="1" customFormat="1" s="23">
      <c r="A907" s="38" t="n">
        <v>46150</v>
      </c>
      <c r="B907" s="23" t="inlineStr">
        <is>
          <t>Efrain</t>
        </is>
      </c>
      <c r="C907" s="23" t="inlineStr">
        <is>
          <t>Bajaj OTZ 01H</t>
        </is>
      </c>
      <c r="D907" s="23" t="inlineStr">
        <is>
          <t>OTZ01H</t>
        </is>
      </c>
      <c r="H907" s="23" t="n">
        <v>240000</v>
      </c>
      <c r="I907" s="23" t="n">
        <v>360000</v>
      </c>
      <c r="J907" s="23" t="inlineStr">
        <is>
          <t>efectivo</t>
        </is>
      </c>
    </row>
    <row r="908" hidden="1" customFormat="1" s="23">
      <c r="A908" s="38" t="n">
        <v>46162</v>
      </c>
      <c r="B908" s="23" t="inlineStr">
        <is>
          <t>Efrain</t>
        </is>
      </c>
      <c r="C908" s="23" t="inlineStr">
        <is>
          <t>Bajaj OTZ 01H</t>
        </is>
      </c>
      <c r="D908" s="23" t="inlineStr">
        <is>
          <t>OTZ01H</t>
        </is>
      </c>
      <c r="H908" s="23" t="n">
        <v>240000</v>
      </c>
      <c r="I908" s="23" t="n">
        <v>600000</v>
      </c>
      <c r="J908" s="23" t="inlineStr">
        <is>
          <t>efectivo</t>
        </is>
      </c>
    </row>
    <row r="909" hidden="1" customFormat="1" s="23">
      <c r="A909" s="38" t="n">
        <v>46180</v>
      </c>
      <c r="B909" s="23" t="inlineStr">
        <is>
          <t>Efrain</t>
        </is>
      </c>
      <c r="C909" s="23" t="inlineStr">
        <is>
          <t>Bajaj OTZ 01H</t>
        </is>
      </c>
      <c r="D909" s="23" t="inlineStr">
        <is>
          <t>OTZ01H</t>
        </is>
      </c>
      <c r="H909" s="23" t="n">
        <v>240000</v>
      </c>
      <c r="I909" s="23" t="n">
        <v>480000</v>
      </c>
      <c r="J909" s="23" t="inlineStr">
        <is>
          <t>efectivo</t>
        </is>
      </c>
    </row>
    <row r="910" hidden="1" customFormat="1" s="23">
      <c r="A910" s="38" t="n">
        <v>46196</v>
      </c>
      <c r="B910" s="23" t="inlineStr">
        <is>
          <t>Efrain</t>
        </is>
      </c>
      <c r="C910" s="23" t="inlineStr">
        <is>
          <t>Bajaj OTZ 01H</t>
        </is>
      </c>
      <c r="D910" s="23" t="inlineStr">
        <is>
          <t>OTZ01H</t>
        </is>
      </c>
      <c r="H910" s="23" t="n">
        <v>240000</v>
      </c>
      <c r="I910" s="23" t="n">
        <v>480000</v>
      </c>
      <c r="J910" s="23" t="inlineStr">
        <is>
          <t>efectivo</t>
        </is>
      </c>
    </row>
    <row r="911" hidden="1" customFormat="1" s="23">
      <c r="A911" s="38" t="n">
        <v>45923</v>
      </c>
      <c r="B911" s="23" t="inlineStr">
        <is>
          <t>Katherine</t>
        </is>
      </c>
      <c r="C911" s="23" t="inlineStr">
        <is>
          <t>Bajaj OUB 81H</t>
        </is>
      </c>
      <c r="D911" s="23" t="inlineStr">
        <is>
          <t>OUB81H</t>
        </is>
      </c>
      <c r="H911" s="23" t="n">
        <v>240000</v>
      </c>
      <c r="I911" s="23" t="n">
        <v>240000</v>
      </c>
      <c r="J911" s="23" t="inlineStr">
        <is>
          <t>efectivo</t>
        </is>
      </c>
    </row>
    <row r="912" hidden="1" customFormat="1" s="23">
      <c r="A912" s="38" t="n">
        <v>45930</v>
      </c>
      <c r="B912" s="23" t="inlineStr">
        <is>
          <t>Katherine</t>
        </is>
      </c>
      <c r="C912" s="23" t="inlineStr">
        <is>
          <t>Bajaj OUB 81H</t>
        </is>
      </c>
      <c r="D912" s="23" t="inlineStr">
        <is>
          <t>OUB81H</t>
        </is>
      </c>
      <c r="H912" s="23" t="n">
        <v>240000</v>
      </c>
      <c r="I912" s="23" t="n">
        <v>240000</v>
      </c>
      <c r="J912" s="23" t="inlineStr">
        <is>
          <t>efectivo</t>
        </is>
      </c>
    </row>
    <row r="913" hidden="1" customFormat="1" s="23">
      <c r="A913" s="38" t="n">
        <v>45936</v>
      </c>
      <c r="B913" s="23" t="inlineStr">
        <is>
          <t>Katherine</t>
        </is>
      </c>
      <c r="C913" s="23" t="inlineStr">
        <is>
          <t>Bajaj OUB 81H</t>
        </is>
      </c>
      <c r="D913" s="23" t="inlineStr">
        <is>
          <t>OUB81H</t>
        </is>
      </c>
      <c r="H913" s="23" t="n">
        <v>240000</v>
      </c>
      <c r="I913" s="23" t="n">
        <v>240000</v>
      </c>
      <c r="J913" s="23" t="inlineStr">
        <is>
          <t>efectivo</t>
        </is>
      </c>
    </row>
    <row r="914" hidden="1" customFormat="1" s="23">
      <c r="A914" s="38" t="n">
        <v>45943</v>
      </c>
      <c r="B914" s="23" t="inlineStr">
        <is>
          <t>Katherine</t>
        </is>
      </c>
      <c r="C914" s="23" t="inlineStr">
        <is>
          <t>Bajaj OUB 81H</t>
        </is>
      </c>
      <c r="D914" s="23" t="inlineStr">
        <is>
          <t>OUB81H</t>
        </is>
      </c>
      <c r="H914" s="23" t="n">
        <v>240000</v>
      </c>
      <c r="I914" s="23" t="n">
        <v>240000</v>
      </c>
      <c r="J914" s="23" t="inlineStr">
        <is>
          <t>efectivo</t>
        </is>
      </c>
    </row>
    <row r="915" hidden="1" customFormat="1" s="23">
      <c r="A915" s="38" t="n">
        <v>45950</v>
      </c>
      <c r="B915" s="23" t="inlineStr">
        <is>
          <t>Katherine</t>
        </is>
      </c>
      <c r="C915" s="23" t="inlineStr">
        <is>
          <t>Bajaj OUB 81H</t>
        </is>
      </c>
      <c r="D915" s="23" t="inlineStr">
        <is>
          <t>OUB81H</t>
        </is>
      </c>
      <c r="H915" s="23" t="n">
        <v>240000</v>
      </c>
      <c r="I915" s="23" t="n">
        <v>240000</v>
      </c>
      <c r="J915" s="23" t="inlineStr">
        <is>
          <t>efectivo</t>
        </is>
      </c>
    </row>
    <row r="916" hidden="1" customFormat="1" s="23">
      <c r="A916" s="38" t="n">
        <v>45959</v>
      </c>
      <c r="B916" s="23" t="inlineStr">
        <is>
          <t>Katherine</t>
        </is>
      </c>
      <c r="C916" s="23" t="inlineStr">
        <is>
          <t>Bajaj OUB 81H</t>
        </is>
      </c>
      <c r="D916" s="23" t="inlineStr">
        <is>
          <t>OUB81H</t>
        </is>
      </c>
      <c r="H916" s="23" t="n">
        <v>240000</v>
      </c>
      <c r="I916" s="23" t="n">
        <v>240000</v>
      </c>
      <c r="J916" s="23" t="inlineStr">
        <is>
          <t>efectivo</t>
        </is>
      </c>
    </row>
    <row r="917" hidden="1" customFormat="1" s="23">
      <c r="A917" s="38" t="n">
        <v>45965</v>
      </c>
      <c r="B917" s="23" t="inlineStr">
        <is>
          <t>Katherine</t>
        </is>
      </c>
      <c r="C917" s="23" t="inlineStr">
        <is>
          <t>Bajaj OUB 81H</t>
        </is>
      </c>
      <c r="D917" s="23" t="inlineStr">
        <is>
          <t>OUB81H</t>
        </is>
      </c>
      <c r="H917" s="23" t="n">
        <v>240000</v>
      </c>
      <c r="I917" s="23" t="n">
        <v>240000</v>
      </c>
      <c r="J917" s="23" t="inlineStr">
        <is>
          <t>efectivo</t>
        </is>
      </c>
    </row>
    <row r="918" hidden="1" customFormat="1" s="23">
      <c r="A918" s="38" t="n">
        <v>45974</v>
      </c>
      <c r="B918" s="23" t="inlineStr">
        <is>
          <t>Katherine</t>
        </is>
      </c>
      <c r="C918" s="23" t="inlineStr">
        <is>
          <t>Bajaj OUB 81H</t>
        </is>
      </c>
      <c r="D918" s="23" t="inlineStr">
        <is>
          <t>OUB81H</t>
        </is>
      </c>
      <c r="H918" s="23" t="n">
        <v>240000</v>
      </c>
      <c r="I918" s="23" t="n">
        <v>240000</v>
      </c>
      <c r="J918" s="23" t="inlineStr">
        <is>
          <t>efectivo</t>
        </is>
      </c>
    </row>
    <row r="919" hidden="1" customFormat="1" s="23">
      <c r="A919" s="38" t="n">
        <v>45981</v>
      </c>
      <c r="B919" s="23" t="inlineStr">
        <is>
          <t>Katherine</t>
        </is>
      </c>
      <c r="C919" s="23" t="inlineStr">
        <is>
          <t>Bajaj OUB 81H</t>
        </is>
      </c>
      <c r="D919" s="23" t="inlineStr">
        <is>
          <t>OUB81H</t>
        </is>
      </c>
      <c r="H919" s="23" t="n">
        <v>240000</v>
      </c>
      <c r="I919" s="23" t="n">
        <v>240000</v>
      </c>
      <c r="J919" s="23" t="inlineStr">
        <is>
          <t>efectivo</t>
        </is>
      </c>
    </row>
    <row r="920" hidden="1" customFormat="1" s="23">
      <c r="A920" s="38" t="n">
        <v>45989</v>
      </c>
      <c r="B920" s="23" t="inlineStr">
        <is>
          <t>Katherine</t>
        </is>
      </c>
      <c r="C920" s="23" t="inlineStr">
        <is>
          <t>Bajaj OUB 81H</t>
        </is>
      </c>
      <c r="D920" s="23" t="inlineStr">
        <is>
          <t>OUB81H</t>
        </is>
      </c>
      <c r="H920" s="23" t="n">
        <v>240000</v>
      </c>
      <c r="I920" s="23" t="n">
        <v>240000</v>
      </c>
      <c r="J920" s="23" t="inlineStr">
        <is>
          <t>efectivo</t>
        </is>
      </c>
    </row>
    <row r="921" hidden="1" customFormat="1" s="23">
      <c r="A921" s="38" t="n">
        <v>45995</v>
      </c>
      <c r="B921" s="23" t="inlineStr">
        <is>
          <t>Katherine</t>
        </is>
      </c>
      <c r="C921" s="23" t="inlineStr">
        <is>
          <t>Bajaj OUB 81H</t>
        </is>
      </c>
      <c r="D921" s="23" t="inlineStr">
        <is>
          <t>OUB81H</t>
        </is>
      </c>
      <c r="H921" s="23" t="n">
        <v>240000</v>
      </c>
      <c r="I921" s="23" t="n">
        <v>240000</v>
      </c>
      <c r="J921" s="23" t="inlineStr">
        <is>
          <t>efectivo</t>
        </is>
      </c>
    </row>
    <row r="922" hidden="1" customFormat="1" s="23">
      <c r="A922" s="38" t="n">
        <v>46004</v>
      </c>
      <c r="B922" s="23" t="inlineStr">
        <is>
          <t>Katherine</t>
        </is>
      </c>
      <c r="C922" s="23" t="inlineStr">
        <is>
          <t>Bajaj OUB 81H</t>
        </is>
      </c>
      <c r="D922" s="23" t="inlineStr">
        <is>
          <t>OUB81H</t>
        </is>
      </c>
      <c r="H922" s="23" t="n">
        <v>240000</v>
      </c>
      <c r="I922" s="23" t="n">
        <v>240000</v>
      </c>
      <c r="J922" s="23" t="inlineStr">
        <is>
          <t>efectivo</t>
        </is>
      </c>
    </row>
    <row r="923" hidden="1" customFormat="1" s="23">
      <c r="A923" s="38" t="n">
        <v>46011</v>
      </c>
      <c r="B923" s="23" t="inlineStr">
        <is>
          <t>Katherine</t>
        </is>
      </c>
      <c r="C923" s="23" t="inlineStr">
        <is>
          <t>Bajaj OUB 81H</t>
        </is>
      </c>
      <c r="D923" s="23" t="inlineStr">
        <is>
          <t>OUB81H</t>
        </is>
      </c>
      <c r="H923" s="23" t="n">
        <v>240000</v>
      </c>
      <c r="I923" s="23" t="n">
        <v>240000</v>
      </c>
      <c r="J923" s="23" t="inlineStr">
        <is>
          <t>efectivo</t>
        </is>
      </c>
    </row>
    <row r="924" hidden="1" customFormat="1" s="23">
      <c r="A924" s="38" t="n">
        <v>46020</v>
      </c>
      <c r="B924" s="23" t="inlineStr">
        <is>
          <t>Katherine</t>
        </is>
      </c>
      <c r="C924" s="23" t="inlineStr">
        <is>
          <t>Bajaj OUB 81H</t>
        </is>
      </c>
      <c r="D924" s="23" t="inlineStr">
        <is>
          <t>OUB81H</t>
        </is>
      </c>
      <c r="H924" s="23" t="n">
        <v>240000</v>
      </c>
      <c r="I924" s="23" t="n">
        <v>240000</v>
      </c>
      <c r="J924" s="23" t="inlineStr">
        <is>
          <t>efectivo</t>
        </is>
      </c>
    </row>
    <row r="925" hidden="1" customFormat="1" s="23">
      <c r="A925" s="38" t="n">
        <v>46033</v>
      </c>
      <c r="B925" s="23" t="inlineStr">
        <is>
          <t>Katherine</t>
        </is>
      </c>
      <c r="C925" s="23" t="inlineStr">
        <is>
          <t>Bajaj OUB 81H</t>
        </is>
      </c>
      <c r="D925" s="23" t="inlineStr">
        <is>
          <t>OUB81H</t>
        </is>
      </c>
      <c r="H925" s="23" t="n">
        <v>240000</v>
      </c>
      <c r="I925" s="23" t="n">
        <v>240000</v>
      </c>
      <c r="J925" s="23" t="inlineStr">
        <is>
          <t>efectivo</t>
        </is>
      </c>
    </row>
    <row r="926" hidden="1" customFormat="1" s="23">
      <c r="A926" s="38" t="n">
        <v>46041</v>
      </c>
      <c r="B926" s="23" t="inlineStr">
        <is>
          <t>Katherine</t>
        </is>
      </c>
      <c r="C926" s="23" t="inlineStr">
        <is>
          <t>Bajaj OUB 81H</t>
        </is>
      </c>
      <c r="D926" s="23" t="inlineStr">
        <is>
          <t>OUB81H</t>
        </is>
      </c>
      <c r="H926" s="23" t="n">
        <v>240000</v>
      </c>
      <c r="I926" s="23" t="n">
        <v>240000</v>
      </c>
      <c r="J926" s="23" t="inlineStr">
        <is>
          <t>efectivo</t>
        </is>
      </c>
    </row>
    <row r="927" hidden="1" customFormat="1" s="23">
      <c r="A927" s="38" t="n">
        <v>46049</v>
      </c>
      <c r="B927" s="23" t="inlineStr">
        <is>
          <t>Katherine</t>
        </is>
      </c>
      <c r="C927" s="23" t="inlineStr">
        <is>
          <t>Bajaj OUB 81H</t>
        </is>
      </c>
      <c r="D927" s="23" t="inlineStr">
        <is>
          <t>OUB81H</t>
        </is>
      </c>
      <c r="H927" s="23" t="n">
        <v>240000</v>
      </c>
      <c r="I927" s="23" t="n">
        <v>240000</v>
      </c>
      <c r="J927" s="23" t="inlineStr">
        <is>
          <t>efectivo</t>
        </is>
      </c>
    </row>
    <row r="928" hidden="1" customFormat="1" s="23">
      <c r="A928" s="38" t="n">
        <v>46058</v>
      </c>
      <c r="B928" s="23" t="inlineStr">
        <is>
          <t>Katherine</t>
        </is>
      </c>
      <c r="C928" s="23" t="inlineStr">
        <is>
          <t>Bajaj OUB 81H</t>
        </is>
      </c>
      <c r="D928" s="23" t="inlineStr">
        <is>
          <t>OUB81H</t>
        </is>
      </c>
      <c r="H928" s="23" t="n">
        <v>240000</v>
      </c>
      <c r="I928" s="23" t="n">
        <v>240000</v>
      </c>
      <c r="J928" s="23" t="inlineStr">
        <is>
          <t>efectivo</t>
        </is>
      </c>
    </row>
    <row r="929" hidden="1" customFormat="1" s="23">
      <c r="A929" s="38" t="n">
        <v>46065</v>
      </c>
      <c r="B929" s="23" t="inlineStr">
        <is>
          <t>Katherine</t>
        </is>
      </c>
      <c r="C929" s="23" t="inlineStr">
        <is>
          <t>Bajaj OUB 81H</t>
        </is>
      </c>
      <c r="D929" s="23" t="inlineStr">
        <is>
          <t>OUB81H</t>
        </is>
      </c>
      <c r="H929" s="23" t="n">
        <v>240000</v>
      </c>
      <c r="I929" s="23" t="n">
        <v>240000</v>
      </c>
      <c r="J929" s="23" t="inlineStr">
        <is>
          <t>efectivo</t>
        </is>
      </c>
    </row>
    <row r="930" hidden="1" customFormat="1" s="23">
      <c r="A930" s="38" t="n">
        <v>46073</v>
      </c>
      <c r="B930" s="23" t="inlineStr">
        <is>
          <t>Katherine</t>
        </is>
      </c>
      <c r="C930" s="23" t="inlineStr">
        <is>
          <t>Bajaj OUB 81H</t>
        </is>
      </c>
      <c r="D930" s="23" t="inlineStr">
        <is>
          <t>OUB81H</t>
        </is>
      </c>
      <c r="H930" s="23" t="n">
        <v>240000</v>
      </c>
      <c r="I930" s="23" t="n">
        <v>240000</v>
      </c>
      <c r="J930" s="23" t="inlineStr">
        <is>
          <t>efectivo</t>
        </is>
      </c>
    </row>
    <row r="931" hidden="1" customFormat="1" s="23">
      <c r="A931" s="38" t="n">
        <v>46078</v>
      </c>
      <c r="B931" s="23" t="inlineStr">
        <is>
          <t>Katherine</t>
        </is>
      </c>
      <c r="C931" s="23" t="inlineStr">
        <is>
          <t>Bajaj OUB 81H</t>
        </is>
      </c>
      <c r="D931" s="23" t="inlineStr">
        <is>
          <t>OUB81H</t>
        </is>
      </c>
      <c r="H931" s="23" t="n">
        <v>240000</v>
      </c>
      <c r="I931" s="23" t="n">
        <v>240000</v>
      </c>
      <c r="J931" s="23" t="inlineStr">
        <is>
          <t>efectivo</t>
        </is>
      </c>
    </row>
    <row r="932" hidden="1" customFormat="1" s="23">
      <c r="A932" s="38" t="n">
        <v>46086</v>
      </c>
      <c r="B932" s="23" t="inlineStr">
        <is>
          <t>Katherine</t>
        </is>
      </c>
      <c r="C932" s="23" t="inlineStr">
        <is>
          <t>Bajaj OUB 81H</t>
        </is>
      </c>
      <c r="D932" s="23" t="inlineStr">
        <is>
          <t>OUB81H</t>
        </is>
      </c>
      <c r="H932" s="23" t="n">
        <v>240000</v>
      </c>
      <c r="I932" s="23" t="n">
        <v>240000</v>
      </c>
      <c r="J932" s="23" t="inlineStr">
        <is>
          <t>efectivo</t>
        </is>
      </c>
    </row>
    <row r="933" hidden="1" customFormat="1" s="23">
      <c r="A933" s="38" t="n">
        <v>46093</v>
      </c>
      <c r="B933" s="23" t="inlineStr">
        <is>
          <t>Katherine</t>
        </is>
      </c>
      <c r="C933" s="23" t="inlineStr">
        <is>
          <t>Bajaj OUB 81H</t>
        </is>
      </c>
      <c r="D933" s="23" t="inlineStr">
        <is>
          <t>OUB81H</t>
        </is>
      </c>
      <c r="H933" s="23" t="n">
        <v>240000</v>
      </c>
      <c r="I933" s="23" t="n">
        <v>240000</v>
      </c>
      <c r="J933" s="23" t="inlineStr">
        <is>
          <t>efectivo</t>
        </is>
      </c>
    </row>
    <row r="934" hidden="1" customFormat="1" s="23">
      <c r="A934" s="38" t="n">
        <v>46100</v>
      </c>
      <c r="B934" s="23" t="inlineStr">
        <is>
          <t>Katherine</t>
        </is>
      </c>
      <c r="C934" s="23" t="inlineStr">
        <is>
          <t>Bajaj OUB 81H</t>
        </is>
      </c>
      <c r="D934" s="23" t="inlineStr">
        <is>
          <t>OUB81H</t>
        </is>
      </c>
      <c r="H934" s="23" t="n">
        <v>240000</v>
      </c>
      <c r="I934" s="23" t="n">
        <v>240000</v>
      </c>
      <c r="J934" s="23" t="inlineStr">
        <is>
          <t>efectivo</t>
        </is>
      </c>
    </row>
    <row r="935" hidden="1" customFormat="1" s="23">
      <c r="A935" s="38" t="n">
        <v>46107</v>
      </c>
      <c r="B935" s="23" t="inlineStr">
        <is>
          <t>Katherine</t>
        </is>
      </c>
      <c r="C935" s="23" t="inlineStr">
        <is>
          <t>Bajaj OUB 81H</t>
        </is>
      </c>
      <c r="D935" s="23" t="inlineStr">
        <is>
          <t>OUB81H</t>
        </is>
      </c>
      <c r="H935" s="23" t="n">
        <v>240000</v>
      </c>
      <c r="I935" s="23" t="n">
        <v>240000</v>
      </c>
      <c r="J935" s="23" t="inlineStr">
        <is>
          <t>efectivo</t>
        </is>
      </c>
    </row>
    <row r="936" hidden="1" customFormat="1" s="23">
      <c r="A936" s="38" t="n">
        <v>46114</v>
      </c>
      <c r="B936" s="23" t="inlineStr">
        <is>
          <t>Katherine</t>
        </is>
      </c>
      <c r="C936" s="23" t="inlineStr">
        <is>
          <t>Bajaj OUB 81H</t>
        </is>
      </c>
      <c r="D936" s="23" t="inlineStr">
        <is>
          <t>OUB81H</t>
        </is>
      </c>
      <c r="H936" s="23" t="n">
        <v>240000</v>
      </c>
      <c r="I936" s="23" t="n">
        <v>240000</v>
      </c>
      <c r="J936" s="23" t="inlineStr">
        <is>
          <t>efectivo</t>
        </is>
      </c>
    </row>
    <row r="937" hidden="1" customFormat="1" s="23">
      <c r="A937" s="38" t="n">
        <v>46121</v>
      </c>
      <c r="B937" s="23" t="inlineStr">
        <is>
          <t>Katherine</t>
        </is>
      </c>
      <c r="C937" s="23" t="inlineStr">
        <is>
          <t>Bajaj OUB 81H</t>
        </is>
      </c>
      <c r="D937" s="23" t="inlineStr">
        <is>
          <t>OUB81H</t>
        </is>
      </c>
      <c r="H937" s="23" t="n">
        <v>240000</v>
      </c>
      <c r="I937" s="23" t="n">
        <v>240000</v>
      </c>
      <c r="J937" s="23" t="inlineStr">
        <is>
          <t>efectivo</t>
        </is>
      </c>
    </row>
    <row r="938" hidden="1" customFormat="1" s="23">
      <c r="A938" s="38" t="n">
        <v>46128</v>
      </c>
      <c r="B938" s="23" t="inlineStr">
        <is>
          <t>Katherine</t>
        </is>
      </c>
      <c r="C938" s="23" t="inlineStr">
        <is>
          <t>Bajaj OUB 81H</t>
        </is>
      </c>
      <c r="D938" s="23" t="inlineStr">
        <is>
          <t>OUB81H</t>
        </is>
      </c>
      <c r="H938" s="23" t="n">
        <v>240000</v>
      </c>
      <c r="I938" s="23" t="n">
        <v>240000</v>
      </c>
      <c r="J938" s="23" t="inlineStr">
        <is>
          <t>efectivo</t>
        </is>
      </c>
    </row>
    <row r="939" hidden="1" customFormat="1" s="23">
      <c r="A939" s="38" t="n">
        <v>46135</v>
      </c>
      <c r="B939" s="23" t="inlineStr">
        <is>
          <t>Katherine</t>
        </is>
      </c>
      <c r="C939" s="23" t="inlineStr">
        <is>
          <t>Bajaj OUB 81H</t>
        </is>
      </c>
      <c r="D939" s="23" t="inlineStr">
        <is>
          <t>OUB81H</t>
        </is>
      </c>
      <c r="H939" s="23" t="n">
        <v>240000</v>
      </c>
      <c r="I939" s="23" t="n">
        <v>240000</v>
      </c>
      <c r="J939" s="23" t="inlineStr">
        <is>
          <t>efectivo</t>
        </is>
      </c>
    </row>
    <row r="940" hidden="1" customFormat="1" s="23">
      <c r="A940" s="38" t="n">
        <v>46142</v>
      </c>
      <c r="B940" s="23" t="inlineStr">
        <is>
          <t>Katherine</t>
        </is>
      </c>
      <c r="C940" s="23" t="inlineStr">
        <is>
          <t>Bajaj OUB 81H</t>
        </is>
      </c>
      <c r="D940" s="23" t="inlineStr">
        <is>
          <t>OUB81H</t>
        </is>
      </c>
      <c r="H940" s="23" t="n">
        <v>240000</v>
      </c>
      <c r="I940" s="23" t="n">
        <v>240000</v>
      </c>
      <c r="J940" s="23" t="inlineStr">
        <is>
          <t>efectivo</t>
        </is>
      </c>
    </row>
    <row r="941" hidden="1" customFormat="1" s="23">
      <c r="A941" s="38" t="n">
        <v>46153</v>
      </c>
      <c r="B941" s="23" t="inlineStr">
        <is>
          <t>Katherine</t>
        </is>
      </c>
      <c r="C941" s="23" t="inlineStr">
        <is>
          <t>Bajaj OUB 81H</t>
        </is>
      </c>
      <c r="D941" s="23" t="inlineStr">
        <is>
          <t>OUB81H</t>
        </is>
      </c>
      <c r="H941" s="23" t="n">
        <v>240000</v>
      </c>
      <c r="I941" s="23" t="n">
        <v>240000</v>
      </c>
      <c r="J941" s="23" t="inlineStr">
        <is>
          <t>efectivo</t>
        </is>
      </c>
    </row>
    <row r="942" hidden="1" customFormat="1" s="23">
      <c r="A942" s="38" t="n">
        <v>46155</v>
      </c>
      <c r="B942" s="23" t="inlineStr">
        <is>
          <t>Katherine</t>
        </is>
      </c>
      <c r="C942" s="23" t="inlineStr">
        <is>
          <t>Bajaj OUB 81H</t>
        </is>
      </c>
      <c r="D942" s="23" t="inlineStr">
        <is>
          <t>OUB81H</t>
        </is>
      </c>
      <c r="H942" s="23" t="n">
        <v>240000</v>
      </c>
      <c r="I942" s="23" t="n">
        <v>240000</v>
      </c>
      <c r="J942" s="23" t="inlineStr">
        <is>
          <t>efectivo</t>
        </is>
      </c>
    </row>
    <row r="943" hidden="1" customFormat="1" s="23">
      <c r="A943" s="38" t="n">
        <v>46167</v>
      </c>
      <c r="B943" s="23" t="inlineStr">
        <is>
          <t>Katherine</t>
        </is>
      </c>
      <c r="C943" s="23" t="inlineStr">
        <is>
          <t>Bajaj OUB 81H</t>
        </is>
      </c>
      <c r="D943" s="23" t="inlineStr">
        <is>
          <t>OUB81H</t>
        </is>
      </c>
      <c r="H943" s="23" t="n">
        <v>240000</v>
      </c>
      <c r="I943" s="23" t="n">
        <v>240000</v>
      </c>
      <c r="J943" s="23" t="inlineStr">
        <is>
          <t>efectivo</t>
        </is>
      </c>
    </row>
    <row r="944" hidden="1" customFormat="1" s="23">
      <c r="A944" s="38" t="n">
        <v>46172</v>
      </c>
      <c r="B944" s="23" t="inlineStr">
        <is>
          <t>Katherine</t>
        </is>
      </c>
      <c r="C944" s="23" t="inlineStr">
        <is>
          <t>Bajaj OUB 81H</t>
        </is>
      </c>
      <c r="D944" s="23" t="inlineStr">
        <is>
          <t>OUB81H</t>
        </is>
      </c>
      <c r="H944" s="23" t="n">
        <v>240000</v>
      </c>
      <c r="I944" s="23" t="n">
        <v>240000</v>
      </c>
      <c r="J944" s="23" t="inlineStr">
        <is>
          <t>efectivo</t>
        </is>
      </c>
    </row>
    <row r="945" hidden="1" customFormat="1" s="23">
      <c r="A945" s="38" t="n">
        <v>46182</v>
      </c>
      <c r="B945" s="23" t="inlineStr">
        <is>
          <t>Katherine</t>
        </is>
      </c>
      <c r="C945" s="23" t="inlineStr">
        <is>
          <t>Bajaj OUB 81H</t>
        </is>
      </c>
      <c r="D945" s="23" t="inlineStr">
        <is>
          <t>OUB81H</t>
        </is>
      </c>
      <c r="H945" s="23" t="n">
        <v>240000</v>
      </c>
      <c r="I945" s="23" t="n">
        <v>240000</v>
      </c>
      <c r="J945" s="23" t="inlineStr">
        <is>
          <t>efectivo</t>
        </is>
      </c>
    </row>
    <row r="946" hidden="1" customFormat="1" s="23">
      <c r="A946" s="38" t="n">
        <v>46188</v>
      </c>
      <c r="B946" s="23" t="inlineStr">
        <is>
          <t>Katherine</t>
        </is>
      </c>
      <c r="C946" s="23" t="inlineStr">
        <is>
          <t>Bajaj OUB 81H</t>
        </is>
      </c>
      <c r="D946" s="23" t="inlineStr">
        <is>
          <t>OUB81H</t>
        </is>
      </c>
      <c r="H946" s="23" t="n">
        <v>240000</v>
      </c>
      <c r="I946" s="23" t="n">
        <v>240000</v>
      </c>
      <c r="J946" s="23" t="inlineStr">
        <is>
          <t>efectivo</t>
        </is>
      </c>
    </row>
    <row r="947" hidden="1" customFormat="1" s="23">
      <c r="A947" s="38" t="n">
        <v>46195</v>
      </c>
      <c r="B947" s="23" t="inlineStr">
        <is>
          <t>Katherine</t>
        </is>
      </c>
      <c r="C947" s="23" t="inlineStr">
        <is>
          <t>Bajaj OUB 81H</t>
        </is>
      </c>
      <c r="D947" s="23" t="inlineStr">
        <is>
          <t>OUB81H</t>
        </is>
      </c>
      <c r="H947" s="23" t="n">
        <v>240000</v>
      </c>
      <c r="I947" s="23" t="n">
        <v>240000</v>
      </c>
      <c r="J947" s="23" t="inlineStr">
        <is>
          <t>efectivo</t>
        </is>
      </c>
    </row>
    <row r="948" hidden="1" customFormat="1" s="23">
      <c r="A948" s="38" t="n">
        <v>46203</v>
      </c>
      <c r="B948" s="23" t="inlineStr">
        <is>
          <t>Katherine</t>
        </is>
      </c>
      <c r="C948" s="23" t="inlineStr">
        <is>
          <t>Bajaj OUB 81H</t>
        </is>
      </c>
      <c r="D948" s="23" t="inlineStr">
        <is>
          <t>OUB81H</t>
        </is>
      </c>
      <c r="H948" s="23" t="n">
        <v>240000</v>
      </c>
      <c r="I948" s="23" t="n">
        <v>240000</v>
      </c>
      <c r="J948" s="23" t="inlineStr">
        <is>
          <t>efectivo</t>
        </is>
      </c>
    </row>
    <row r="949" hidden="1" customFormat="1" s="23">
      <c r="A949" s="38" t="n">
        <v>46209</v>
      </c>
      <c r="B949" s="23" t="inlineStr">
        <is>
          <t>Katherine</t>
        </is>
      </c>
      <c r="C949" s="23" t="inlineStr">
        <is>
          <t>Bajaj OUB 81H</t>
        </is>
      </c>
      <c r="D949" s="23" t="inlineStr">
        <is>
          <t>OUB81H</t>
        </is>
      </c>
      <c r="H949" s="23" t="n">
        <v>240000</v>
      </c>
      <c r="I949" s="23" t="n">
        <v>240000</v>
      </c>
      <c r="J949" s="23" t="inlineStr">
        <is>
          <t>efectivo</t>
        </is>
      </c>
    </row>
    <row r="950" hidden="1" customFormat="1" s="23">
      <c r="A950" s="38" t="n">
        <v>46217</v>
      </c>
      <c r="B950" s="23" t="inlineStr">
        <is>
          <t>Katherine</t>
        </is>
      </c>
      <c r="C950" s="23" t="inlineStr">
        <is>
          <t>Bajaj OUB 81H</t>
        </is>
      </c>
      <c r="D950" s="23" t="inlineStr">
        <is>
          <t>OUB81H</t>
        </is>
      </c>
      <c r="H950" s="23" t="n">
        <v>240000</v>
      </c>
      <c r="I950" s="23" t="n">
        <v>240000</v>
      </c>
      <c r="J950" s="23" t="inlineStr">
        <is>
          <t>efectivo</t>
        </is>
      </c>
    </row>
    <row r="951" hidden="1" customFormat="1" s="23">
      <c r="A951" s="38" t="n">
        <v>46224</v>
      </c>
      <c r="B951" s="23" t="inlineStr">
        <is>
          <t>Katherine</t>
        </is>
      </c>
      <c r="C951" s="23" t="inlineStr">
        <is>
          <t>Bajaj OUB 81H</t>
        </is>
      </c>
      <c r="D951" s="23" t="inlineStr">
        <is>
          <t>OUB81H</t>
        </is>
      </c>
      <c r="H951" s="23" t="n">
        <v>240000</v>
      </c>
      <c r="I951" s="23" t="n">
        <v>240000</v>
      </c>
      <c r="J951" s="23" t="inlineStr">
        <is>
          <t>efectivo</t>
        </is>
      </c>
    </row>
    <row r="952" hidden="1" customFormat="1" s="23">
      <c r="A952" s="38" t="n">
        <v>46051</v>
      </c>
      <c r="B952" s="23" t="inlineStr">
        <is>
          <t>Juan David-Ana Milena</t>
        </is>
      </c>
      <c r="C952" s="23" t="inlineStr">
        <is>
          <t>Bajaj UPY 65H</t>
        </is>
      </c>
      <c r="D952" s="23" t="inlineStr">
        <is>
          <t>UPY65H</t>
        </is>
      </c>
      <c r="H952" s="23" t="n">
        <v>240000</v>
      </c>
      <c r="I952" s="23" t="n">
        <v>240000</v>
      </c>
      <c r="J952" s="23" t="inlineStr">
        <is>
          <t>efectivo</t>
        </is>
      </c>
    </row>
    <row r="953" hidden="1" customFormat="1" s="23">
      <c r="A953" s="38" t="n">
        <v>46058</v>
      </c>
      <c r="B953" s="23" t="inlineStr">
        <is>
          <t>Juan David-Ana Milena</t>
        </is>
      </c>
      <c r="C953" s="23" t="inlineStr">
        <is>
          <t>Bajaj UPY 65H</t>
        </is>
      </c>
      <c r="D953" s="23" t="inlineStr">
        <is>
          <t>UPY65H</t>
        </is>
      </c>
      <c r="H953" s="23" t="n">
        <v>240000</v>
      </c>
      <c r="I953" s="23" t="n">
        <v>240000</v>
      </c>
      <c r="J953" s="23" t="inlineStr">
        <is>
          <t>efectivo</t>
        </is>
      </c>
    </row>
    <row r="954" hidden="1" customFormat="1" s="23">
      <c r="A954" s="38" t="n">
        <v>46064</v>
      </c>
      <c r="B954" s="23" t="inlineStr">
        <is>
          <t>Juan David-Ana Milena</t>
        </is>
      </c>
      <c r="C954" s="23" t="inlineStr">
        <is>
          <t>Bajaj UPY 65H</t>
        </is>
      </c>
      <c r="D954" s="23" t="inlineStr">
        <is>
          <t>UPY65H</t>
        </is>
      </c>
      <c r="H954" s="23" t="n">
        <v>240000</v>
      </c>
      <c r="I954" s="23" t="n">
        <v>240000</v>
      </c>
      <c r="J954" s="23" t="inlineStr">
        <is>
          <t>efectivo</t>
        </is>
      </c>
    </row>
    <row r="955" hidden="1" customFormat="1" s="23">
      <c r="A955" s="38" t="n">
        <v>46071</v>
      </c>
      <c r="B955" s="23" t="inlineStr">
        <is>
          <t>Juan David-Ana Milena</t>
        </is>
      </c>
      <c r="C955" s="23" t="inlineStr">
        <is>
          <t>Bajaj UPY 65H</t>
        </is>
      </c>
      <c r="D955" s="23" t="inlineStr">
        <is>
          <t>UPY65H</t>
        </is>
      </c>
      <c r="H955" s="23" t="n">
        <v>240000</v>
      </c>
      <c r="I955" s="23" t="n">
        <v>240000</v>
      </c>
      <c r="J955" s="23" t="inlineStr">
        <is>
          <t>efectivo</t>
        </is>
      </c>
    </row>
    <row r="956" hidden="1" customFormat="1" s="23">
      <c r="A956" s="38" t="n">
        <v>46079</v>
      </c>
      <c r="B956" s="23" t="inlineStr">
        <is>
          <t>Juan David-Ana Milena</t>
        </is>
      </c>
      <c r="C956" s="23" t="inlineStr">
        <is>
          <t>Bajaj UPY 65H</t>
        </is>
      </c>
      <c r="D956" s="23" t="inlineStr">
        <is>
          <t>UPY65H</t>
        </is>
      </c>
      <c r="H956" s="23" t="n">
        <v>240000</v>
      </c>
      <c r="I956" s="23" t="n">
        <v>240000</v>
      </c>
      <c r="J956" s="23" t="inlineStr">
        <is>
          <t>efectivo</t>
        </is>
      </c>
    </row>
    <row r="957" hidden="1" customFormat="1" s="23">
      <c r="A957" s="38" t="n">
        <v>46086</v>
      </c>
      <c r="B957" s="23" t="inlineStr">
        <is>
          <t>Juan David-Ana Milena</t>
        </is>
      </c>
      <c r="C957" s="23" t="inlineStr">
        <is>
          <t>Bajaj UPY 65H</t>
        </is>
      </c>
      <c r="D957" s="23" t="inlineStr">
        <is>
          <t>UPY65H</t>
        </is>
      </c>
      <c r="H957" s="23" t="n">
        <v>240000</v>
      </c>
      <c r="I957" s="23" t="n">
        <v>240000</v>
      </c>
      <c r="J957" s="23" t="inlineStr">
        <is>
          <t>efectivo</t>
        </is>
      </c>
    </row>
    <row r="958" hidden="1" customFormat="1" s="23">
      <c r="A958" s="38" t="n">
        <v>46093</v>
      </c>
      <c r="B958" s="23" t="inlineStr">
        <is>
          <t>Juan David-Ana Milena</t>
        </is>
      </c>
      <c r="C958" s="23" t="inlineStr">
        <is>
          <t>Bajaj UPY 65H</t>
        </is>
      </c>
      <c r="D958" s="23" t="inlineStr">
        <is>
          <t>UPY65H</t>
        </is>
      </c>
      <c r="H958" s="23" t="n">
        <v>240000</v>
      </c>
      <c r="I958" s="23" t="n">
        <v>240000</v>
      </c>
      <c r="J958" s="23" t="inlineStr">
        <is>
          <t>efectivo</t>
        </is>
      </c>
    </row>
    <row r="959" hidden="1" customFormat="1" s="23">
      <c r="A959" s="38" t="n">
        <v>46100</v>
      </c>
      <c r="B959" s="23" t="inlineStr">
        <is>
          <t>Juan David-Ana Milena</t>
        </is>
      </c>
      <c r="C959" s="23" t="inlineStr">
        <is>
          <t>Bajaj UPY 65H</t>
        </is>
      </c>
      <c r="D959" s="23" t="inlineStr">
        <is>
          <t>UPY65H</t>
        </is>
      </c>
      <c r="H959" s="23" t="n">
        <v>240000</v>
      </c>
      <c r="I959" s="23" t="n">
        <v>240000</v>
      </c>
      <c r="J959" s="23" t="inlineStr">
        <is>
          <t>efectivo</t>
        </is>
      </c>
    </row>
    <row r="960" hidden="1" customFormat="1" s="23">
      <c r="A960" s="38" t="n">
        <v>46107</v>
      </c>
      <c r="B960" s="23" t="inlineStr">
        <is>
          <t>Juan David-Ana Milena</t>
        </is>
      </c>
      <c r="C960" s="23" t="inlineStr">
        <is>
          <t>Bajaj UPY 65H</t>
        </is>
      </c>
      <c r="D960" s="23" t="inlineStr">
        <is>
          <t>UPY65H</t>
        </is>
      </c>
      <c r="H960" s="23" t="n">
        <v>240000</v>
      </c>
      <c r="I960" s="23" t="n">
        <v>240000</v>
      </c>
      <c r="J960" s="23" t="inlineStr">
        <is>
          <t>efectivo</t>
        </is>
      </c>
    </row>
    <row r="961" hidden="1" customFormat="1" s="23">
      <c r="A961" s="38" t="n">
        <v>46113</v>
      </c>
      <c r="B961" s="23" t="inlineStr">
        <is>
          <t>Juan David-Ana Milena</t>
        </is>
      </c>
      <c r="C961" s="23" t="inlineStr">
        <is>
          <t>Bajaj UPY 65H</t>
        </is>
      </c>
      <c r="D961" s="23" t="inlineStr">
        <is>
          <t>UPY65H</t>
        </is>
      </c>
      <c r="H961" s="23" t="n">
        <v>240000</v>
      </c>
      <c r="I961" s="23" t="n">
        <v>240000</v>
      </c>
      <c r="J961" s="23" t="inlineStr">
        <is>
          <t>efectivo</t>
        </is>
      </c>
    </row>
    <row r="962" hidden="1" customFormat="1" s="23">
      <c r="A962" s="38" t="n">
        <v>46120</v>
      </c>
      <c r="B962" s="23" t="inlineStr">
        <is>
          <t>Juan David-Ana Milena</t>
        </is>
      </c>
      <c r="C962" s="23" t="inlineStr">
        <is>
          <t>Bajaj UPY 65H</t>
        </is>
      </c>
      <c r="D962" s="23" t="inlineStr">
        <is>
          <t>UPY65H</t>
        </is>
      </c>
      <c r="H962" s="23" t="n">
        <v>240000</v>
      </c>
      <c r="I962" s="23" t="n">
        <v>240000</v>
      </c>
      <c r="J962" s="23" t="inlineStr">
        <is>
          <t>efectivo</t>
        </is>
      </c>
    </row>
    <row r="963" hidden="1" customFormat="1" s="23">
      <c r="A963" s="38" t="n">
        <v>46126</v>
      </c>
      <c r="B963" s="23" t="inlineStr">
        <is>
          <t>Juan David-Ana Milena</t>
        </is>
      </c>
      <c r="C963" s="23" t="inlineStr">
        <is>
          <t>Bajaj UPY 65H</t>
        </is>
      </c>
      <c r="D963" s="23" t="inlineStr">
        <is>
          <t>UPY65H</t>
        </is>
      </c>
      <c r="H963" s="23" t="n">
        <v>240000</v>
      </c>
      <c r="I963" s="23" t="n">
        <v>240000</v>
      </c>
      <c r="J963" s="23" t="inlineStr">
        <is>
          <t>efectivo</t>
        </is>
      </c>
    </row>
    <row r="964" hidden="1" customFormat="1" s="23">
      <c r="A964" s="38" t="n">
        <v>46134</v>
      </c>
      <c r="B964" s="23" t="inlineStr">
        <is>
          <t>Juan David-Ana Milena</t>
        </is>
      </c>
      <c r="C964" s="23" t="inlineStr">
        <is>
          <t>Bajaj UPY 65H</t>
        </is>
      </c>
      <c r="D964" s="23" t="inlineStr">
        <is>
          <t>UPY65H</t>
        </is>
      </c>
      <c r="H964" s="23" t="n">
        <v>240000</v>
      </c>
      <c r="I964" s="23" t="n">
        <v>240000</v>
      </c>
      <c r="J964" s="23" t="inlineStr">
        <is>
          <t>efectivo</t>
        </is>
      </c>
    </row>
    <row r="965" hidden="1" customFormat="1" s="23">
      <c r="A965" s="38" t="n">
        <v>46142</v>
      </c>
      <c r="B965" s="23" t="inlineStr">
        <is>
          <t>Juan David-Ana Milena</t>
        </is>
      </c>
      <c r="C965" s="23" t="inlineStr">
        <is>
          <t>Bajaj UPY 65H</t>
        </is>
      </c>
      <c r="D965" s="23" t="inlineStr">
        <is>
          <t>UPY65H</t>
        </is>
      </c>
      <c r="H965" s="23" t="n">
        <v>240000</v>
      </c>
      <c r="I965" s="23" t="n">
        <v>240000</v>
      </c>
      <c r="J965" s="23" t="inlineStr">
        <is>
          <t>efectivo</t>
        </is>
      </c>
    </row>
    <row r="966" hidden="1" customFormat="1" s="23">
      <c r="A966" s="38" t="n">
        <v>46148</v>
      </c>
      <c r="B966" s="23" t="inlineStr">
        <is>
          <t>Juan David-Ana Milena</t>
        </is>
      </c>
      <c r="C966" s="23" t="inlineStr">
        <is>
          <t>Bajaj UPY 65H</t>
        </is>
      </c>
      <c r="D966" s="23" t="inlineStr">
        <is>
          <t>UPY65H</t>
        </is>
      </c>
      <c r="H966" s="23" t="n">
        <v>240000</v>
      </c>
      <c r="I966" s="23" t="n">
        <v>240000</v>
      </c>
      <c r="J966" s="23" t="inlineStr">
        <is>
          <t>efectivo</t>
        </is>
      </c>
    </row>
    <row r="967" hidden="1" customFormat="1" s="23">
      <c r="A967" s="38" t="n">
        <v>46155</v>
      </c>
      <c r="B967" s="23" t="inlineStr">
        <is>
          <t>Juan David-Ana Milena</t>
        </is>
      </c>
      <c r="C967" s="23" t="inlineStr">
        <is>
          <t>Bajaj UPY 65H</t>
        </is>
      </c>
      <c r="D967" s="23" t="inlineStr">
        <is>
          <t>UPY65H</t>
        </is>
      </c>
      <c r="H967" s="23" t="n">
        <v>240000</v>
      </c>
      <c r="I967" s="23" t="n">
        <v>240000</v>
      </c>
      <c r="J967" s="23" t="inlineStr">
        <is>
          <t>efectivo</t>
        </is>
      </c>
    </row>
    <row r="968" hidden="1" customFormat="1" s="23">
      <c r="A968" s="38" t="n">
        <v>46162</v>
      </c>
      <c r="B968" s="23" t="inlineStr">
        <is>
          <t>Juan David-Ana Milena</t>
        </is>
      </c>
      <c r="C968" s="23" t="inlineStr">
        <is>
          <t>Bajaj UPY 65H</t>
        </is>
      </c>
      <c r="D968" s="23" t="inlineStr">
        <is>
          <t>UPY65H</t>
        </is>
      </c>
      <c r="H968" s="23" t="n">
        <v>240000</v>
      </c>
      <c r="I968" s="23" t="n">
        <v>240000</v>
      </c>
      <c r="J968" s="23" t="inlineStr">
        <is>
          <t>efectivo</t>
        </is>
      </c>
    </row>
    <row r="969" hidden="1" customFormat="1" s="23">
      <c r="A969" s="38" t="n">
        <v>46169</v>
      </c>
      <c r="B969" s="23" t="inlineStr">
        <is>
          <t>Juan David-Ana Milena</t>
        </is>
      </c>
      <c r="C969" s="23" t="inlineStr">
        <is>
          <t>Bajaj UPY 65H</t>
        </is>
      </c>
      <c r="D969" s="23" t="inlineStr">
        <is>
          <t>UPY65H</t>
        </is>
      </c>
      <c r="H969" s="23" t="n">
        <v>240000</v>
      </c>
      <c r="I969" s="23" t="n">
        <v>240000</v>
      </c>
      <c r="J969" s="23" t="inlineStr">
        <is>
          <t>efectivo</t>
        </is>
      </c>
    </row>
    <row r="970" hidden="1" customFormat="1" s="23">
      <c r="A970" s="38" t="n">
        <v>46176</v>
      </c>
      <c r="B970" s="23" t="inlineStr">
        <is>
          <t>Juan David-Ana Milena</t>
        </is>
      </c>
      <c r="C970" s="23" t="inlineStr">
        <is>
          <t>Bajaj UPY 65H</t>
        </is>
      </c>
      <c r="D970" s="23" t="inlineStr">
        <is>
          <t>UPY65H</t>
        </is>
      </c>
      <c r="H970" s="23" t="n">
        <v>240000</v>
      </c>
      <c r="I970" s="23" t="n">
        <v>240000</v>
      </c>
      <c r="J970" s="23" t="inlineStr">
        <is>
          <t>efectivo</t>
        </is>
      </c>
    </row>
    <row r="971" hidden="1" customFormat="1" s="23">
      <c r="A971" s="38" t="n">
        <v>46183</v>
      </c>
      <c r="B971" s="23" t="inlineStr">
        <is>
          <t>Juan David-Ana Milena</t>
        </is>
      </c>
      <c r="C971" s="23" t="inlineStr">
        <is>
          <t>Bajaj UPY 65H</t>
        </is>
      </c>
      <c r="D971" s="23" t="inlineStr">
        <is>
          <t>UPY65H</t>
        </is>
      </c>
      <c r="H971" s="23" t="n">
        <v>240000</v>
      </c>
      <c r="I971" s="23" t="n">
        <v>240000</v>
      </c>
      <c r="J971" s="23" t="inlineStr">
        <is>
          <t>efectivo</t>
        </is>
      </c>
    </row>
    <row r="972" hidden="1" customFormat="1" s="23">
      <c r="A972" s="38" t="n">
        <v>46191</v>
      </c>
      <c r="B972" s="23" t="inlineStr">
        <is>
          <t>Juan David-Ana Milena</t>
        </is>
      </c>
      <c r="C972" s="23" t="inlineStr">
        <is>
          <t>Bajaj UPY 65H</t>
        </is>
      </c>
      <c r="D972" s="23" t="inlineStr">
        <is>
          <t>UPY65H</t>
        </is>
      </c>
      <c r="H972" s="23" t="n">
        <v>240000</v>
      </c>
      <c r="I972" s="23" t="n">
        <v>240000</v>
      </c>
      <c r="J972" s="23" t="inlineStr">
        <is>
          <t>efectivo</t>
        </is>
      </c>
    </row>
    <row r="973" hidden="1" customFormat="1" s="23">
      <c r="A973" s="38" t="n">
        <v>46197</v>
      </c>
      <c r="B973" s="23" t="inlineStr">
        <is>
          <t>Juan David-Ana Milena</t>
        </is>
      </c>
      <c r="C973" s="23" t="inlineStr">
        <is>
          <t>Bajaj UPY 65H</t>
        </is>
      </c>
      <c r="D973" s="23" t="inlineStr">
        <is>
          <t>UPY65H</t>
        </is>
      </c>
      <c r="H973" s="23" t="n">
        <v>240000</v>
      </c>
      <c r="I973" s="23" t="n">
        <v>240000</v>
      </c>
      <c r="J973" s="23" t="inlineStr">
        <is>
          <t>efectivo</t>
        </is>
      </c>
    </row>
    <row r="974" hidden="1" customFormat="1" s="23">
      <c r="A974" s="38" t="n">
        <v>46204</v>
      </c>
      <c r="B974" s="23" t="inlineStr">
        <is>
          <t>Juan David-Ana Milena</t>
        </is>
      </c>
      <c r="C974" s="23" t="inlineStr">
        <is>
          <t>Bajaj UPY 65H</t>
        </is>
      </c>
      <c r="D974" s="23" t="inlineStr">
        <is>
          <t>UPY65H</t>
        </is>
      </c>
      <c r="H974" s="23" t="n">
        <v>240000</v>
      </c>
      <c r="I974" s="23" t="n">
        <v>240000</v>
      </c>
      <c r="J974" s="23" t="inlineStr">
        <is>
          <t>efectivo</t>
        </is>
      </c>
    </row>
    <row r="975" hidden="1" customFormat="1" s="23">
      <c r="A975" s="38" t="n">
        <v>46212</v>
      </c>
      <c r="B975" s="23" t="inlineStr">
        <is>
          <t>Juan David-Ana Milena</t>
        </is>
      </c>
      <c r="C975" s="23" t="inlineStr">
        <is>
          <t>Bajaj UPY 65H</t>
        </is>
      </c>
      <c r="D975" s="23" t="inlineStr">
        <is>
          <t>UPY65H</t>
        </is>
      </c>
      <c r="H975" s="23" t="n">
        <v>240000</v>
      </c>
      <c r="I975" s="23" t="n">
        <v>240000</v>
      </c>
      <c r="J975" s="23" t="inlineStr">
        <is>
          <t>efectivo</t>
        </is>
      </c>
    </row>
    <row r="976" hidden="1" customFormat="1" s="23">
      <c r="A976" s="38" t="n">
        <v>46219</v>
      </c>
      <c r="B976" s="23" t="inlineStr">
        <is>
          <t>Juan David-Ana Milena</t>
        </is>
      </c>
      <c r="C976" s="23" t="inlineStr">
        <is>
          <t>Bajaj UPY 65H</t>
        </is>
      </c>
      <c r="D976" s="23" t="inlineStr">
        <is>
          <t>UPY65H</t>
        </is>
      </c>
      <c r="H976" s="23" t="n">
        <v>240000</v>
      </c>
      <c r="I976" s="23" t="n">
        <v>240000</v>
      </c>
      <c r="J976" s="23" t="inlineStr">
        <is>
          <t>efectivo</t>
        </is>
      </c>
    </row>
    <row r="977" hidden="1" customFormat="1" s="23">
      <c r="A977" s="38" t="n">
        <v>46058</v>
      </c>
      <c r="B977" s="23" t="inlineStr">
        <is>
          <t>Sr Luis</t>
        </is>
      </c>
      <c r="C977" s="23" t="inlineStr">
        <is>
          <t>Bajaj UYZ 32H</t>
        </is>
      </c>
      <c r="D977" s="23" t="inlineStr">
        <is>
          <t>UYZ32H</t>
        </is>
      </c>
      <c r="H977" s="23" t="n">
        <v>240000</v>
      </c>
      <c r="I977" s="23" t="n">
        <v>240000</v>
      </c>
      <c r="J977" s="23" t="inlineStr">
        <is>
          <t>efectivo</t>
        </is>
      </c>
    </row>
    <row r="978" hidden="1" customFormat="1" s="23">
      <c r="A978" s="38" t="n">
        <v>46066</v>
      </c>
      <c r="B978" s="23" t="inlineStr">
        <is>
          <t>Sr Luis</t>
        </is>
      </c>
      <c r="C978" s="23" t="inlineStr">
        <is>
          <t>Bajaj UYZ 32H</t>
        </is>
      </c>
      <c r="D978" s="23" t="inlineStr">
        <is>
          <t>UYZ32H</t>
        </is>
      </c>
      <c r="H978" s="23" t="n">
        <v>240000</v>
      </c>
      <c r="I978" s="23" t="n">
        <v>240000</v>
      </c>
      <c r="J978" s="23" t="inlineStr">
        <is>
          <t>efectivo</t>
        </is>
      </c>
    </row>
    <row r="979" hidden="1" customFormat="1" s="23">
      <c r="A979" s="38" t="n">
        <v>46074</v>
      </c>
      <c r="B979" s="23" t="inlineStr">
        <is>
          <t>Sr Luis</t>
        </is>
      </c>
      <c r="C979" s="23" t="inlineStr">
        <is>
          <t>Bajaj UYZ 32H</t>
        </is>
      </c>
      <c r="D979" s="23" t="inlineStr">
        <is>
          <t>UYZ32H</t>
        </is>
      </c>
      <c r="H979" s="23" t="n">
        <v>240000</v>
      </c>
      <c r="I979" s="23" t="n">
        <v>240000</v>
      </c>
      <c r="J979" s="23" t="inlineStr">
        <is>
          <t>efectivo</t>
        </is>
      </c>
    </row>
    <row r="980" hidden="1" customFormat="1" s="23">
      <c r="A980" s="38" t="n">
        <v>46083</v>
      </c>
      <c r="B980" s="23" t="inlineStr">
        <is>
          <t>Sr Luis</t>
        </is>
      </c>
      <c r="C980" s="23" t="inlineStr">
        <is>
          <t>Bajaj UYZ 32H</t>
        </is>
      </c>
      <c r="D980" s="23" t="inlineStr">
        <is>
          <t>UYZ32H</t>
        </is>
      </c>
      <c r="H980" s="23" t="n">
        <v>240000</v>
      </c>
      <c r="I980" s="23" t="n">
        <v>240000</v>
      </c>
      <c r="J980" s="23" t="inlineStr">
        <is>
          <t>efectivo</t>
        </is>
      </c>
    </row>
    <row r="981" hidden="1" ht="15.7" customFormat="1" customHeight="1" s="23">
      <c r="A981" s="38" t="n">
        <v>46091</v>
      </c>
      <c r="B981" s="23" t="inlineStr">
        <is>
          <t>Sr Luis</t>
        </is>
      </c>
      <c r="C981" s="23" t="inlineStr">
        <is>
          <t>Bajaj UYZ 32H</t>
        </is>
      </c>
      <c r="D981" s="23" t="inlineStr">
        <is>
          <t>UYZ32H</t>
        </is>
      </c>
      <c r="H981" s="23" t="n">
        <v>240000</v>
      </c>
      <c r="I981" s="23" t="n">
        <v>240000</v>
      </c>
      <c r="J981" s="23" t="inlineStr">
        <is>
          <t>efectivo</t>
        </is>
      </c>
    </row>
    <row r="982" hidden="1" customFormat="1" s="23">
      <c r="A982" s="38" t="n">
        <v>46099</v>
      </c>
      <c r="B982" s="23" t="inlineStr">
        <is>
          <t>Sr Luis</t>
        </is>
      </c>
      <c r="C982" s="23" t="inlineStr">
        <is>
          <t>Bajaj UYZ 32H</t>
        </is>
      </c>
      <c r="D982" s="23" t="inlineStr">
        <is>
          <t>UYZ32H</t>
        </is>
      </c>
      <c r="H982" s="23" t="n">
        <v>240000</v>
      </c>
      <c r="I982" s="23" t="n">
        <v>240000</v>
      </c>
      <c r="J982" s="23" t="inlineStr">
        <is>
          <t>efectivo</t>
        </is>
      </c>
    </row>
    <row r="983" hidden="1" customFormat="1" s="23">
      <c r="A983" s="38" t="n">
        <v>46166</v>
      </c>
      <c r="B983" s="23" t="inlineStr">
        <is>
          <t>Sr Luis</t>
        </is>
      </c>
      <c r="C983" s="23" t="inlineStr">
        <is>
          <t>Bajaj UYZ 32H</t>
        </is>
      </c>
      <c r="D983" s="23" t="inlineStr">
        <is>
          <t>UYZ32H</t>
        </is>
      </c>
      <c r="H983" s="23" t="n">
        <v>240000</v>
      </c>
      <c r="I983" s="23" t="n">
        <v>240000</v>
      </c>
      <c r="J983" s="23" t="inlineStr">
        <is>
          <t>efectivo</t>
        </is>
      </c>
    </row>
    <row r="984" hidden="1" customFormat="1" s="23">
      <c r="A984" s="38" t="n">
        <v>46174</v>
      </c>
      <c r="B984" s="23" t="inlineStr">
        <is>
          <t>Sr Luis</t>
        </is>
      </c>
      <c r="C984" s="23" t="inlineStr">
        <is>
          <t>Bajaj UYZ 32H</t>
        </is>
      </c>
      <c r="D984" s="23" t="inlineStr">
        <is>
          <t>UYZ32H</t>
        </is>
      </c>
      <c r="H984" s="23" t="n">
        <v>240000</v>
      </c>
      <c r="I984" s="23" t="n">
        <v>240000</v>
      </c>
      <c r="J984" s="23" t="inlineStr">
        <is>
          <t>efectivo</t>
        </is>
      </c>
    </row>
    <row r="985" hidden="1" customFormat="1" s="23">
      <c r="A985" s="38" t="n">
        <v>46182</v>
      </c>
      <c r="B985" s="23" t="inlineStr">
        <is>
          <t>Sr Luis</t>
        </is>
      </c>
      <c r="C985" s="23" t="inlineStr">
        <is>
          <t>Bajaj UYZ 32H</t>
        </is>
      </c>
      <c r="D985" s="23" t="inlineStr">
        <is>
          <t>UYZ32H</t>
        </is>
      </c>
      <c r="H985" s="23" t="n">
        <v>240000</v>
      </c>
      <c r="I985" s="23" t="n">
        <v>240000</v>
      </c>
      <c r="J985" s="23" t="inlineStr">
        <is>
          <t>efectivo</t>
        </is>
      </c>
    </row>
    <row r="986" hidden="1" customFormat="1" s="23">
      <c r="A986" s="38" t="n">
        <v>46190</v>
      </c>
      <c r="B986" s="23" t="inlineStr">
        <is>
          <t>Sr Luis</t>
        </is>
      </c>
      <c r="C986" s="23" t="inlineStr">
        <is>
          <t>Bajaj UYZ 32H</t>
        </is>
      </c>
      <c r="D986" s="23" t="inlineStr">
        <is>
          <t>UYZ32H</t>
        </is>
      </c>
      <c r="H986" s="23" t="n">
        <v>240000</v>
      </c>
      <c r="I986" s="23" t="n">
        <v>240000</v>
      </c>
      <c r="J986" s="23" t="inlineStr">
        <is>
          <t>efectivo</t>
        </is>
      </c>
    </row>
    <row r="987" hidden="1" customFormat="1" s="23">
      <c r="A987" s="38" t="n">
        <v>46065</v>
      </c>
      <c r="B987" s="23" t="inlineStr">
        <is>
          <t>Manuel Olga</t>
        </is>
      </c>
      <c r="C987" s="23" t="inlineStr">
        <is>
          <t>Bajaj UYZ 39H</t>
        </is>
      </c>
      <c r="D987" s="23" t="inlineStr">
        <is>
          <t>UYZ39H</t>
        </is>
      </c>
      <c r="H987" s="23" t="n">
        <v>240000</v>
      </c>
      <c r="I987" s="23" t="n">
        <v>240000</v>
      </c>
      <c r="J987" s="23" t="inlineStr">
        <is>
          <t>efectivo</t>
        </is>
      </c>
    </row>
    <row r="988" hidden="1" customFormat="1" s="23">
      <c r="A988" s="38" t="n">
        <v>46077</v>
      </c>
      <c r="B988" s="23" t="inlineStr">
        <is>
          <t>Manuel Olga</t>
        </is>
      </c>
      <c r="C988" s="23" t="inlineStr">
        <is>
          <t>Bajaj UYZ 39H</t>
        </is>
      </c>
      <c r="D988" s="23" t="inlineStr">
        <is>
          <t>UYZ39H</t>
        </is>
      </c>
      <c r="H988" s="23" t="n">
        <v>240000</v>
      </c>
      <c r="I988" s="23" t="n">
        <v>240000</v>
      </c>
      <c r="J988" s="23" t="inlineStr">
        <is>
          <t>efectivo</t>
        </is>
      </c>
    </row>
    <row r="989" hidden="1" customFormat="1" s="23">
      <c r="A989" s="38" t="n">
        <v>46086</v>
      </c>
      <c r="B989" s="23" t="inlineStr">
        <is>
          <t>Manuel Olga</t>
        </is>
      </c>
      <c r="C989" s="23" t="inlineStr">
        <is>
          <t>Bajaj UYZ 39H</t>
        </is>
      </c>
      <c r="D989" s="23" t="inlineStr">
        <is>
          <t>UYZ39H</t>
        </is>
      </c>
      <c r="H989" s="23" t="n">
        <v>240000</v>
      </c>
      <c r="I989" s="23" t="n">
        <v>240000</v>
      </c>
      <c r="J989" s="23" t="inlineStr">
        <is>
          <t>efectivo</t>
        </is>
      </c>
    </row>
    <row r="990" hidden="1" customFormat="1" s="23">
      <c r="A990" s="38" t="n">
        <v>46090</v>
      </c>
      <c r="B990" s="23" t="inlineStr">
        <is>
          <t>Manuel Olga</t>
        </is>
      </c>
      <c r="C990" s="23" t="inlineStr">
        <is>
          <t>Bajaj UYZ 39H</t>
        </is>
      </c>
      <c r="D990" s="23" t="inlineStr">
        <is>
          <t>UYZ39H</t>
        </is>
      </c>
      <c r="H990" s="23" t="n">
        <v>240000</v>
      </c>
      <c r="I990" s="23" t="n">
        <v>240000</v>
      </c>
      <c r="J990" s="23" t="inlineStr">
        <is>
          <t>efectivo</t>
        </is>
      </c>
    </row>
    <row r="991" hidden="1" customFormat="1" s="23">
      <c r="A991" s="38" t="n">
        <v>46097</v>
      </c>
      <c r="B991" s="23" t="inlineStr">
        <is>
          <t>Manuel Olga</t>
        </is>
      </c>
      <c r="C991" s="23" t="inlineStr">
        <is>
          <t>Bajaj UYZ 39H</t>
        </is>
      </c>
      <c r="D991" s="23" t="inlineStr">
        <is>
          <t>UYZ39H</t>
        </is>
      </c>
      <c r="H991" s="23" t="n">
        <v>240000</v>
      </c>
      <c r="I991" s="23" t="n">
        <v>240000</v>
      </c>
      <c r="J991" s="23" t="inlineStr">
        <is>
          <t>efectivo</t>
        </is>
      </c>
    </row>
    <row r="992" hidden="1" customFormat="1" s="23">
      <c r="A992" s="38" t="n">
        <v>46106</v>
      </c>
      <c r="B992" s="23" t="inlineStr">
        <is>
          <t>Manuel Olga</t>
        </is>
      </c>
      <c r="C992" s="23" t="inlineStr">
        <is>
          <t>Bajaj UYZ 39H</t>
        </is>
      </c>
      <c r="D992" s="23" t="inlineStr">
        <is>
          <t>UYZ39H</t>
        </is>
      </c>
      <c r="H992" s="23" t="n">
        <v>240000</v>
      </c>
      <c r="I992" s="23" t="n">
        <v>240000</v>
      </c>
      <c r="J992" s="23" t="inlineStr">
        <is>
          <t>efectivo</t>
        </is>
      </c>
    </row>
    <row r="993" hidden="1" customFormat="1" s="23">
      <c r="A993" s="38" t="n">
        <v>46118</v>
      </c>
      <c r="B993" s="23" t="inlineStr">
        <is>
          <t>Manuel Olga</t>
        </is>
      </c>
      <c r="C993" s="23" t="inlineStr">
        <is>
          <t>Bajaj UYZ 39H</t>
        </is>
      </c>
      <c r="D993" s="23" t="inlineStr">
        <is>
          <t>UYZ39H</t>
        </is>
      </c>
      <c r="H993" s="23" t="n">
        <v>240000</v>
      </c>
      <c r="I993" s="23" t="n">
        <v>240000</v>
      </c>
      <c r="J993" s="23" t="inlineStr">
        <is>
          <t>efectivo</t>
        </is>
      </c>
    </row>
    <row r="994" hidden="1" customFormat="1" s="23">
      <c r="A994" s="38" t="n">
        <v>46126</v>
      </c>
      <c r="B994" s="23" t="inlineStr">
        <is>
          <t>Manuel Olga</t>
        </is>
      </c>
      <c r="C994" s="23" t="inlineStr">
        <is>
          <t>Bajaj UYZ 39H</t>
        </is>
      </c>
      <c r="D994" s="23" t="inlineStr">
        <is>
          <t>UYZ39H</t>
        </is>
      </c>
      <c r="H994" s="23" t="n">
        <v>240000</v>
      </c>
      <c r="I994" s="23" t="n">
        <v>240000</v>
      </c>
      <c r="J994" s="23" t="inlineStr">
        <is>
          <t>efectivo</t>
        </is>
      </c>
    </row>
    <row r="995" hidden="1" customFormat="1" s="23">
      <c r="A995" s="38" t="n">
        <v>46137</v>
      </c>
      <c r="B995" s="23" t="inlineStr">
        <is>
          <t>Manuel Olga</t>
        </is>
      </c>
      <c r="C995" s="23" t="inlineStr">
        <is>
          <t>Bajaj UYZ 39H</t>
        </is>
      </c>
      <c r="D995" s="23" t="inlineStr">
        <is>
          <t>UYZ39H</t>
        </is>
      </c>
      <c r="H995" s="23" t="n">
        <v>240000</v>
      </c>
      <c r="I995" s="23" t="n">
        <v>240000</v>
      </c>
      <c r="J995" s="23" t="inlineStr">
        <is>
          <t>efectivo</t>
        </is>
      </c>
    </row>
    <row r="996" hidden="1" customFormat="1" s="23">
      <c r="A996" s="38" t="n">
        <v>46146</v>
      </c>
      <c r="B996" s="23" t="inlineStr">
        <is>
          <t>Manuel Olga</t>
        </is>
      </c>
      <c r="C996" s="23" t="inlineStr">
        <is>
          <t>Bajaj UYZ 39H</t>
        </is>
      </c>
      <c r="D996" s="23" t="inlineStr">
        <is>
          <t>UYZ39H</t>
        </is>
      </c>
      <c r="H996" s="23" t="n">
        <v>240000</v>
      </c>
      <c r="I996" s="23" t="n">
        <v>240000</v>
      </c>
      <c r="J996" s="23" t="inlineStr">
        <is>
          <t>efectivo</t>
        </is>
      </c>
    </row>
    <row r="997" hidden="1" customFormat="1" s="23">
      <c r="A997" s="38" t="n">
        <v>46161</v>
      </c>
      <c r="B997" s="23" t="inlineStr">
        <is>
          <t>Manuel Olga</t>
        </is>
      </c>
      <c r="C997" s="23" t="inlineStr">
        <is>
          <t>Bajaj UYZ 39H</t>
        </is>
      </c>
      <c r="D997" s="23" t="inlineStr">
        <is>
          <t>UYZ39H</t>
        </is>
      </c>
      <c r="H997" s="23" t="n">
        <v>240000</v>
      </c>
      <c r="I997" s="23" t="n">
        <v>240000</v>
      </c>
      <c r="J997" s="23" t="inlineStr">
        <is>
          <t>efectivo</t>
        </is>
      </c>
    </row>
    <row r="998" hidden="1" customFormat="1" s="23">
      <c r="A998" s="38" t="n">
        <v>46171</v>
      </c>
      <c r="B998" s="23" t="inlineStr">
        <is>
          <t>Manuel Olga</t>
        </is>
      </c>
      <c r="C998" s="23" t="inlineStr">
        <is>
          <t>Bajaj UYZ 39H</t>
        </is>
      </c>
      <c r="D998" s="23" t="inlineStr">
        <is>
          <t>UYZ39H</t>
        </is>
      </c>
      <c r="H998" s="23" t="n">
        <v>240000</v>
      </c>
      <c r="I998" s="23" t="n">
        <v>240000</v>
      </c>
      <c r="J998" s="23" t="inlineStr">
        <is>
          <t>efectivo</t>
        </is>
      </c>
    </row>
    <row r="999" hidden="1" customFormat="1" s="23">
      <c r="A999" s="38" t="n">
        <v>46181</v>
      </c>
      <c r="B999" s="23" t="inlineStr">
        <is>
          <t>Manuel Olga</t>
        </is>
      </c>
      <c r="C999" s="23" t="inlineStr">
        <is>
          <t>Bajaj UYZ 39H</t>
        </is>
      </c>
      <c r="D999" s="23" t="inlineStr">
        <is>
          <t>UYZ39H</t>
        </is>
      </c>
      <c r="H999" s="23" t="n">
        <v>240000</v>
      </c>
      <c r="I999" s="23" t="n">
        <v>240000</v>
      </c>
      <c r="J999" s="23" t="inlineStr">
        <is>
          <t>efectivo</t>
        </is>
      </c>
    </row>
    <row r="1000" hidden="1" customFormat="1" s="23">
      <c r="A1000" s="38" t="n">
        <v>46190</v>
      </c>
      <c r="B1000" s="23" t="inlineStr">
        <is>
          <t>Manuel Olga</t>
        </is>
      </c>
      <c r="C1000" s="23" t="inlineStr">
        <is>
          <t>Bajaj UYZ 39H</t>
        </is>
      </c>
      <c r="D1000" s="23" t="inlineStr">
        <is>
          <t>UYZ39H</t>
        </is>
      </c>
      <c r="H1000" s="23" t="n">
        <v>240000</v>
      </c>
      <c r="I1000" s="23" t="n">
        <v>240000</v>
      </c>
      <c r="J1000" s="23" t="inlineStr">
        <is>
          <t>efectivo</t>
        </is>
      </c>
    </row>
    <row r="1001" hidden="1" customFormat="1" s="23">
      <c r="A1001" s="38" t="n">
        <v>46198</v>
      </c>
      <c r="B1001" s="23" t="inlineStr">
        <is>
          <t>Manuel Olga</t>
        </is>
      </c>
      <c r="C1001" s="23" t="inlineStr">
        <is>
          <t>Bajaj UYZ 39H</t>
        </is>
      </c>
      <c r="D1001" s="23" t="inlineStr">
        <is>
          <t>UYZ39H</t>
        </is>
      </c>
      <c r="H1001" s="23" t="n">
        <v>240000</v>
      </c>
      <c r="I1001" s="23" t="n">
        <v>240000</v>
      </c>
      <c r="J1001" s="23" t="inlineStr">
        <is>
          <t>efectivo</t>
        </is>
      </c>
    </row>
    <row r="1002" hidden="1" customFormat="1" s="23">
      <c r="A1002" s="38" t="n">
        <v>46208</v>
      </c>
      <c r="B1002" s="23" t="inlineStr">
        <is>
          <t>Manuel Olga</t>
        </is>
      </c>
      <c r="C1002" s="23" t="inlineStr">
        <is>
          <t>Bajaj UYZ 39H</t>
        </is>
      </c>
      <c r="D1002" s="23" t="inlineStr">
        <is>
          <t>UYZ39H</t>
        </is>
      </c>
      <c r="H1002" s="23" t="n">
        <v>240000</v>
      </c>
      <c r="I1002" s="23" t="n">
        <v>240000</v>
      </c>
      <c r="J1002" s="23" t="inlineStr">
        <is>
          <t>efectivo</t>
        </is>
      </c>
    </row>
    <row r="1003" hidden="1" customFormat="1" s="23">
      <c r="A1003" s="38" t="n">
        <v>46218</v>
      </c>
      <c r="B1003" s="23" t="inlineStr">
        <is>
          <t>Manuel Olga</t>
        </is>
      </c>
      <c r="C1003" s="23" t="inlineStr">
        <is>
          <t>Bajaj UYZ 39H</t>
        </is>
      </c>
      <c r="D1003" s="23" t="inlineStr">
        <is>
          <t>UYZ39H</t>
        </is>
      </c>
      <c r="H1003" s="23" t="n">
        <v>240000</v>
      </c>
      <c r="I1003" s="23" t="n">
        <v>240000</v>
      </c>
      <c r="J1003" s="23" t="inlineStr">
        <is>
          <t>efectivo</t>
        </is>
      </c>
    </row>
    <row r="1004" hidden="1" customFormat="1" s="23">
      <c r="A1004" s="38" t="n">
        <v>46225</v>
      </c>
      <c r="B1004" s="23" t="inlineStr">
        <is>
          <t>Manuel Olga</t>
        </is>
      </c>
      <c r="C1004" s="23" t="inlineStr">
        <is>
          <t>Bajaj UYZ 39H</t>
        </is>
      </c>
      <c r="D1004" s="23" t="inlineStr">
        <is>
          <t>UYZ39H</t>
        </is>
      </c>
      <c r="H1004" s="23" t="n">
        <v>240000</v>
      </c>
      <c r="I1004" s="23" t="n">
        <v>240000</v>
      </c>
      <c r="J1004" s="23" t="inlineStr">
        <is>
          <t>efectivo</t>
        </is>
      </c>
    </row>
    <row r="1005" hidden="1" customFormat="1" s="23">
      <c r="A1005" s="38" t="n">
        <v>46174</v>
      </c>
      <c r="B1005" s="23" t="inlineStr">
        <is>
          <t>Jorge Estrada</t>
        </is>
      </c>
      <c r="C1005" s="23" t="inlineStr">
        <is>
          <t>Bajaj BJH 66I</t>
        </is>
      </c>
      <c r="D1005" s="23" t="inlineStr">
        <is>
          <t>BJH66I</t>
        </is>
      </c>
      <c r="H1005" s="23" t="n">
        <v>240000</v>
      </c>
      <c r="I1005" s="23" t="n">
        <v>240000</v>
      </c>
      <c r="J1005" s="23" t="inlineStr">
        <is>
          <t>efectivo</t>
        </is>
      </c>
    </row>
    <row r="1006" hidden="1" customFormat="1" s="23">
      <c r="A1006" s="38" t="n">
        <v>46182</v>
      </c>
      <c r="B1006" s="23" t="inlineStr">
        <is>
          <t>Jorge Estrada</t>
        </is>
      </c>
      <c r="C1006" s="23" t="inlineStr">
        <is>
          <t>Bajaj BJH 66I</t>
        </is>
      </c>
      <c r="D1006" s="23" t="inlineStr">
        <is>
          <t>BJH66I</t>
        </is>
      </c>
      <c r="H1006" s="23" t="n">
        <v>240000</v>
      </c>
      <c r="I1006" s="23" t="n">
        <v>240000</v>
      </c>
      <c r="J1006" s="23" t="inlineStr">
        <is>
          <t>efectivo</t>
        </is>
      </c>
    </row>
    <row r="1007" hidden="1" customFormat="1" s="23">
      <c r="A1007" s="38" t="n">
        <v>46189</v>
      </c>
      <c r="B1007" s="23" t="inlineStr">
        <is>
          <t>Jorge Estrada</t>
        </is>
      </c>
      <c r="C1007" s="23" t="inlineStr">
        <is>
          <t>Bajaj BJH 66I</t>
        </is>
      </c>
      <c r="D1007" s="23" t="inlineStr">
        <is>
          <t>BJH66I</t>
        </is>
      </c>
      <c r="H1007" s="23" t="n">
        <v>240000</v>
      </c>
      <c r="I1007" s="23" t="n">
        <v>240000</v>
      </c>
      <c r="J1007" s="23" t="inlineStr">
        <is>
          <t>efectivo</t>
        </is>
      </c>
    </row>
    <row r="1008" hidden="1" customFormat="1" s="23">
      <c r="A1008" s="38" t="n">
        <v>46197</v>
      </c>
      <c r="B1008" s="23" t="inlineStr">
        <is>
          <t>Jorge Estrada</t>
        </is>
      </c>
      <c r="C1008" s="23" t="inlineStr">
        <is>
          <t>Bajaj BJH 66I</t>
        </is>
      </c>
      <c r="D1008" s="23" t="inlineStr">
        <is>
          <t>BJH66I</t>
        </is>
      </c>
      <c r="H1008" s="23" t="n">
        <v>240000</v>
      </c>
      <c r="I1008" s="23" t="n">
        <v>240000</v>
      </c>
      <c r="J1008" s="23" t="inlineStr">
        <is>
          <t>efectivo</t>
        </is>
      </c>
    </row>
    <row r="1009" hidden="1" customFormat="1" s="23">
      <c r="A1009" s="38" t="n">
        <v>46204</v>
      </c>
      <c r="B1009" s="23" t="inlineStr">
        <is>
          <t>Jorge Estrada</t>
        </is>
      </c>
      <c r="C1009" s="23" t="inlineStr">
        <is>
          <t>Bajaj BJH 66I</t>
        </is>
      </c>
      <c r="D1009" s="23" t="inlineStr">
        <is>
          <t>BJH66I</t>
        </is>
      </c>
      <c r="H1009" s="23" t="n">
        <v>240000</v>
      </c>
      <c r="I1009" s="23" t="n">
        <v>240000</v>
      </c>
      <c r="J1009" s="23" t="inlineStr">
        <is>
          <t>efectivo</t>
        </is>
      </c>
    </row>
    <row r="1010" hidden="1" customFormat="1" s="23">
      <c r="A1010" s="38" t="n">
        <v>46213</v>
      </c>
      <c r="B1010" s="23" t="inlineStr">
        <is>
          <t>Jorge Estrada</t>
        </is>
      </c>
      <c r="C1010" s="23" t="inlineStr">
        <is>
          <t>Bajaj BJH 66I</t>
        </is>
      </c>
      <c r="D1010" s="23" t="inlineStr">
        <is>
          <t>BJH66I</t>
        </is>
      </c>
      <c r="H1010" s="23" t="n">
        <v>240000</v>
      </c>
      <c r="I1010" s="23" t="n">
        <v>240000</v>
      </c>
      <c r="J1010" s="23" t="inlineStr">
        <is>
          <t>efectivo</t>
        </is>
      </c>
    </row>
    <row r="1011" hidden="1" customFormat="1" s="23">
      <c r="A1011" s="38" t="n">
        <v>46224</v>
      </c>
      <c r="B1011" s="23" t="inlineStr">
        <is>
          <t>Jorge Estrada</t>
        </is>
      </c>
      <c r="C1011" s="23" t="inlineStr">
        <is>
          <t>Bajaj BJH 66I</t>
        </is>
      </c>
      <c r="D1011" s="23" t="inlineStr">
        <is>
          <t>BJH66I</t>
        </is>
      </c>
      <c r="H1011" s="23" t="n">
        <v>240000</v>
      </c>
      <c r="I1011" s="23" t="n">
        <v>240000</v>
      </c>
      <c r="J1011" s="23" t="inlineStr">
        <is>
          <t>efectivo</t>
        </is>
      </c>
    </row>
    <row r="1012" hidden="1" customFormat="1" s="23">
      <c r="A1012" s="38" t="n">
        <v>46086</v>
      </c>
      <c r="B1012" s="23" t="inlineStr">
        <is>
          <t>Daniela Nuñez</t>
        </is>
      </c>
      <c r="C1012" s="23" t="inlineStr">
        <is>
          <t>Bajaj BJK 95I</t>
        </is>
      </c>
      <c r="D1012" s="23" t="inlineStr">
        <is>
          <t>BJK95I</t>
        </is>
      </c>
      <c r="H1012" s="23" t="n">
        <v>420000</v>
      </c>
      <c r="I1012" s="23" t="n">
        <v>420000</v>
      </c>
      <c r="J1012" s="23" t="inlineStr">
        <is>
          <t>efectivo</t>
        </is>
      </c>
    </row>
    <row r="1013" hidden="1" customFormat="1" s="23">
      <c r="A1013" s="38" t="n">
        <v>46117</v>
      </c>
      <c r="B1013" s="23" t="inlineStr">
        <is>
          <t>Daniela Nuñez</t>
        </is>
      </c>
      <c r="C1013" s="23" t="inlineStr">
        <is>
          <t>Bajaj BJK 95I</t>
        </is>
      </c>
      <c r="D1013" s="23" t="inlineStr">
        <is>
          <t>BJK95I</t>
        </is>
      </c>
      <c r="H1013" s="23" t="n">
        <v>420000</v>
      </c>
      <c r="I1013" s="23" t="n">
        <v>420000</v>
      </c>
      <c r="J1013" s="23" t="inlineStr">
        <is>
          <t>efectivo</t>
        </is>
      </c>
    </row>
    <row r="1014" hidden="1" customFormat="1" s="23">
      <c r="A1014" s="38" t="n">
        <v>46147</v>
      </c>
      <c r="B1014" s="23" t="inlineStr">
        <is>
          <t>Daniela Nuñez</t>
        </is>
      </c>
      <c r="C1014" s="23" t="inlineStr">
        <is>
          <t>Bajaj BJK 95I</t>
        </is>
      </c>
      <c r="D1014" s="23" t="inlineStr">
        <is>
          <t>BJK95I</t>
        </is>
      </c>
      <c r="H1014" s="23" t="n">
        <v>420000</v>
      </c>
      <c r="I1014" s="23" t="n">
        <v>420000</v>
      </c>
      <c r="J1014" s="23" t="inlineStr">
        <is>
          <t>efectivo</t>
        </is>
      </c>
    </row>
    <row r="1015" hidden="1" customFormat="1" s="23">
      <c r="A1015" s="38" t="n">
        <v>46180</v>
      </c>
      <c r="B1015" s="23" t="inlineStr">
        <is>
          <t>Daniela Nuñez</t>
        </is>
      </c>
      <c r="C1015" s="23" t="inlineStr">
        <is>
          <t>Bajaj BJK 95I</t>
        </is>
      </c>
      <c r="D1015" s="23" t="inlineStr">
        <is>
          <t>BJK95I</t>
        </is>
      </c>
      <c r="H1015" s="23" t="n">
        <v>420000</v>
      </c>
      <c r="I1015" s="23" t="n">
        <v>420000</v>
      </c>
      <c r="J1015" s="23" t="inlineStr">
        <is>
          <t>efectivo</t>
        </is>
      </c>
    </row>
    <row r="1016" hidden="1" customFormat="1" s="23">
      <c r="A1016" s="38" t="n">
        <v>46128</v>
      </c>
      <c r="B1016" s="23" t="inlineStr">
        <is>
          <t>Alejandro</t>
        </is>
      </c>
      <c r="C1016" s="23" t="inlineStr">
        <is>
          <t>Bajaj OKS 30I</t>
        </is>
      </c>
      <c r="D1016" s="23" t="inlineStr">
        <is>
          <t>OKS30I</t>
        </is>
      </c>
      <c r="H1016" s="23" t="n">
        <v>240000</v>
      </c>
      <c r="I1016" s="23" t="n">
        <v>240000</v>
      </c>
      <c r="J1016" s="23" t="inlineStr">
        <is>
          <t>efectivo</t>
        </is>
      </c>
    </row>
    <row r="1017" hidden="1" customFormat="1" s="23">
      <c r="A1017" s="38" t="n">
        <v>46135</v>
      </c>
      <c r="B1017" s="23" t="inlineStr">
        <is>
          <t>Alejandro</t>
        </is>
      </c>
      <c r="C1017" s="23" t="inlineStr">
        <is>
          <t>Bajaj OKS 30I</t>
        </is>
      </c>
      <c r="D1017" s="23" t="inlineStr">
        <is>
          <t>OKS30I</t>
        </is>
      </c>
      <c r="H1017" s="23" t="n">
        <v>240000</v>
      </c>
      <c r="I1017" s="23" t="n">
        <v>240000</v>
      </c>
      <c r="J1017" s="23" t="inlineStr">
        <is>
          <t>efectivo</t>
        </is>
      </c>
    </row>
    <row r="1018" hidden="1" customFormat="1" s="23">
      <c r="A1018" s="38" t="n">
        <v>46142</v>
      </c>
      <c r="B1018" s="23" t="inlineStr">
        <is>
          <t>Alejandro</t>
        </is>
      </c>
      <c r="C1018" s="23" t="inlineStr">
        <is>
          <t>Bajaj OKS 30I</t>
        </is>
      </c>
      <c r="D1018" s="23" t="inlineStr">
        <is>
          <t>OKS30I</t>
        </is>
      </c>
      <c r="H1018" s="23" t="n">
        <v>240000</v>
      </c>
      <c r="I1018" s="23" t="n">
        <v>240000</v>
      </c>
      <c r="J1018" s="23" t="inlineStr">
        <is>
          <t>efectivo</t>
        </is>
      </c>
    </row>
    <row r="1019" hidden="1" customFormat="1" s="23">
      <c r="A1019" s="38" t="n">
        <v>46149</v>
      </c>
      <c r="B1019" s="23" t="inlineStr">
        <is>
          <t>Alejandro</t>
        </is>
      </c>
      <c r="C1019" s="23" t="inlineStr">
        <is>
          <t>Bajaj OKS 30I</t>
        </is>
      </c>
      <c r="D1019" s="23" t="inlineStr">
        <is>
          <t>OKS30I</t>
        </is>
      </c>
      <c r="H1019" s="23" t="n">
        <v>240000</v>
      </c>
      <c r="I1019" s="23" t="n">
        <v>240000</v>
      </c>
      <c r="J1019" s="23" t="inlineStr">
        <is>
          <t>efectivo</t>
        </is>
      </c>
    </row>
    <row r="1020" hidden="1" customFormat="1" s="23">
      <c r="A1020" s="38" t="n">
        <v>46156</v>
      </c>
      <c r="B1020" s="23" t="inlineStr">
        <is>
          <t>Alejandro</t>
        </is>
      </c>
      <c r="C1020" s="23" t="inlineStr">
        <is>
          <t>Bajaj OKS 30I</t>
        </is>
      </c>
      <c r="D1020" s="23" t="inlineStr">
        <is>
          <t>OKS30I</t>
        </is>
      </c>
      <c r="H1020" s="23" t="n">
        <v>240000</v>
      </c>
      <c r="I1020" s="23" t="n">
        <v>240000</v>
      </c>
      <c r="J1020" s="23" t="inlineStr">
        <is>
          <t>efectivo</t>
        </is>
      </c>
    </row>
    <row r="1021" hidden="1" customFormat="1" s="23">
      <c r="A1021" s="38" t="n">
        <v>46163</v>
      </c>
      <c r="B1021" s="23" t="inlineStr">
        <is>
          <t>Alejandro</t>
        </is>
      </c>
      <c r="C1021" s="23" t="inlineStr">
        <is>
          <t>Bajaj OKS 30I</t>
        </is>
      </c>
      <c r="D1021" s="23" t="inlineStr">
        <is>
          <t>OKS30I</t>
        </is>
      </c>
      <c r="H1021" s="23" t="n">
        <v>240000</v>
      </c>
      <c r="I1021" s="23" t="n">
        <v>240000</v>
      </c>
      <c r="J1021" s="23" t="inlineStr">
        <is>
          <t>efectivo</t>
        </is>
      </c>
    </row>
    <row r="1022" hidden="1" customFormat="1" s="23">
      <c r="A1022" s="38" t="n">
        <v>46170</v>
      </c>
      <c r="B1022" s="23" t="inlineStr">
        <is>
          <t>Alejandro</t>
        </is>
      </c>
      <c r="C1022" s="23" t="inlineStr">
        <is>
          <t>Bajaj OKS 30I</t>
        </is>
      </c>
      <c r="D1022" s="23" t="inlineStr">
        <is>
          <t>OKS30I</t>
        </is>
      </c>
      <c r="H1022" s="23" t="n">
        <v>240000</v>
      </c>
      <c r="I1022" s="23" t="n">
        <v>240000</v>
      </c>
      <c r="J1022" s="23" t="inlineStr">
        <is>
          <t>efectivo</t>
        </is>
      </c>
    </row>
    <row r="1023" hidden="1" customFormat="1" s="23">
      <c r="A1023" s="38" t="n">
        <v>46208</v>
      </c>
      <c r="B1023" s="23" t="inlineStr">
        <is>
          <t>Alejandro</t>
        </is>
      </c>
      <c r="C1023" s="23" t="inlineStr">
        <is>
          <t>Bajaj OKS 30I</t>
        </is>
      </c>
      <c r="D1023" s="23" t="inlineStr">
        <is>
          <t>OKS30I</t>
        </is>
      </c>
      <c r="H1023" s="23" t="n">
        <v>240000</v>
      </c>
      <c r="I1023" s="23" t="n">
        <v>240000</v>
      </c>
      <c r="J1023" s="23" t="inlineStr">
        <is>
          <t>efectivo</t>
        </is>
      </c>
    </row>
    <row r="1024" hidden="1" customFormat="1" s="23">
      <c r="A1024" s="38" t="n">
        <v>46216</v>
      </c>
      <c r="B1024" s="23" t="inlineStr">
        <is>
          <t>Alejandro</t>
        </is>
      </c>
      <c r="C1024" s="23" t="inlineStr">
        <is>
          <t>Bajaj OKS 30I</t>
        </is>
      </c>
      <c r="D1024" s="23" t="inlineStr">
        <is>
          <t>OKS30I</t>
        </is>
      </c>
      <c r="H1024" s="23" t="n">
        <v>240000</v>
      </c>
      <c r="I1024" s="23" t="n">
        <v>240000</v>
      </c>
      <c r="J1024" s="23" t="inlineStr">
        <is>
          <t>efectivo</t>
        </is>
      </c>
    </row>
    <row r="1025" hidden="1" customFormat="1" s="23">
      <c r="A1025" s="38" t="n">
        <v>46158</v>
      </c>
      <c r="B1025" s="23" t="inlineStr">
        <is>
          <t>Karluis</t>
        </is>
      </c>
      <c r="C1025" s="23" t="inlineStr">
        <is>
          <t>Bajaj BLB 45I</t>
        </is>
      </c>
      <c r="D1025" s="23" t="inlineStr">
        <is>
          <t>BLB45I</t>
        </is>
      </c>
      <c r="H1025" s="23" t="n">
        <v>240000</v>
      </c>
      <c r="I1025" s="23" t="n">
        <v>240000</v>
      </c>
      <c r="J1025" s="23" t="inlineStr">
        <is>
          <t>efectivo</t>
        </is>
      </c>
    </row>
    <row r="1026" hidden="1" customFormat="1" s="23">
      <c r="A1026" s="38" t="n">
        <v>46171</v>
      </c>
      <c r="B1026" s="23" t="inlineStr">
        <is>
          <t>Karluis</t>
        </is>
      </c>
      <c r="C1026" s="23" t="inlineStr">
        <is>
          <t>Bajaj BLB 45I</t>
        </is>
      </c>
      <c r="D1026" s="23" t="inlineStr">
        <is>
          <t>BLB45I</t>
        </is>
      </c>
      <c r="H1026" s="23" t="n">
        <v>240000</v>
      </c>
      <c r="I1026" s="23" t="n">
        <v>240000</v>
      </c>
      <c r="J1026" s="23" t="inlineStr">
        <is>
          <t>efectivo</t>
        </is>
      </c>
    </row>
    <row r="1027" hidden="1" customFormat="1" s="23">
      <c r="A1027" s="38" t="n">
        <v>46174</v>
      </c>
      <c r="B1027" s="23" t="inlineStr">
        <is>
          <t>Karluis</t>
        </is>
      </c>
      <c r="C1027" s="23" t="inlineStr">
        <is>
          <t>Bajaj BLB 45I</t>
        </is>
      </c>
      <c r="D1027" s="23" t="inlineStr">
        <is>
          <t>BLB45I</t>
        </is>
      </c>
      <c r="H1027" s="23" t="n">
        <v>240000</v>
      </c>
      <c r="I1027" s="23" t="n">
        <v>240000</v>
      </c>
      <c r="J1027" s="23" t="inlineStr">
        <is>
          <t>efectivo</t>
        </is>
      </c>
    </row>
    <row r="1028" hidden="1" customFormat="1" s="23">
      <c r="A1028" s="38" t="n">
        <v>46172</v>
      </c>
      <c r="B1028" s="23" t="inlineStr">
        <is>
          <t>Francisco (Buñuelo)</t>
        </is>
      </c>
      <c r="C1028" s="23" t="inlineStr">
        <is>
          <t>Bajaj BLG 78I</t>
        </is>
      </c>
      <c r="D1028" s="23" t="inlineStr">
        <is>
          <t>BLG78I</t>
        </is>
      </c>
      <c r="H1028" s="23" t="n">
        <v>190000</v>
      </c>
      <c r="I1028" s="23" t="n">
        <v>190000</v>
      </c>
      <c r="J1028" s="23" t="inlineStr">
        <is>
          <t>efectivo</t>
        </is>
      </c>
    </row>
    <row r="1029" hidden="1" customFormat="1" s="23">
      <c r="A1029" s="38" t="n">
        <v>46188</v>
      </c>
      <c r="B1029" s="23" t="inlineStr">
        <is>
          <t>Francisco (Buñuelo)</t>
        </is>
      </c>
      <c r="C1029" s="23" t="inlineStr">
        <is>
          <t>Bajaj BLG 78I</t>
        </is>
      </c>
      <c r="D1029" s="23" t="inlineStr">
        <is>
          <t>BLG78I</t>
        </is>
      </c>
      <c r="H1029" s="23" t="n">
        <v>190000</v>
      </c>
      <c r="I1029" s="23" t="n">
        <v>190000</v>
      </c>
      <c r="J1029" s="23" t="inlineStr">
        <is>
          <t>efectivo</t>
        </is>
      </c>
    </row>
    <row r="1030" hidden="1" customFormat="1" s="23">
      <c r="A1030" s="38" t="n">
        <v>46203</v>
      </c>
      <c r="B1030" s="23" t="inlineStr">
        <is>
          <t>Francisco (Buñuelo)</t>
        </is>
      </c>
      <c r="C1030" s="23" t="inlineStr">
        <is>
          <t>Bajaj BLG 78I</t>
        </is>
      </c>
      <c r="D1030" s="23" t="inlineStr">
        <is>
          <t>BLG78I</t>
        </is>
      </c>
      <c r="H1030" s="23" t="n">
        <v>190000</v>
      </c>
      <c r="I1030" s="23" t="n">
        <v>190000</v>
      </c>
      <c r="J1030" s="23" t="inlineStr">
        <is>
          <t>efectivo</t>
        </is>
      </c>
    </row>
    <row r="1031" hidden="1" customFormat="1" s="23">
      <c r="A1031" s="38" t="n">
        <v>46218</v>
      </c>
      <c r="B1031" s="23" t="inlineStr">
        <is>
          <t>Francisco (Buñuelo)</t>
        </is>
      </c>
      <c r="C1031" s="23" t="inlineStr">
        <is>
          <t>Bajaj BLG 78I</t>
        </is>
      </c>
      <c r="D1031" s="23" t="inlineStr">
        <is>
          <t>BLG78I</t>
        </is>
      </c>
      <c r="H1031" s="23" t="n">
        <v>190000</v>
      </c>
      <c r="I1031" s="23" t="n">
        <v>190000</v>
      </c>
      <c r="J1031" s="23" t="inlineStr">
        <is>
          <t>efectivo</t>
        </is>
      </c>
    </row>
    <row r="1032" hidden="1" customFormat="1" s="23">
      <c r="A1032" s="38" t="n">
        <v>46211</v>
      </c>
      <c r="B1032" s="23" t="inlineStr">
        <is>
          <t>Yesenia</t>
        </is>
      </c>
      <c r="C1032" s="23" t="inlineStr">
        <is>
          <t>Bajaj HWO 62I</t>
        </is>
      </c>
      <c r="D1032" s="23" t="inlineStr">
        <is>
          <t>HWD62I</t>
        </is>
      </c>
      <c r="H1032" s="23" t="n">
        <v>240000</v>
      </c>
      <c r="I1032" s="23" t="n">
        <v>240000</v>
      </c>
      <c r="J1032" s="23" t="inlineStr">
        <is>
          <t>efectivo</t>
        </is>
      </c>
    </row>
    <row r="1033" hidden="1" customFormat="1" s="23">
      <c r="A1033" s="38" t="n">
        <v>46218</v>
      </c>
      <c r="B1033" s="23" t="inlineStr">
        <is>
          <t>Yesenia</t>
        </is>
      </c>
      <c r="C1033" s="23" t="inlineStr">
        <is>
          <t>Bajaj HWO 62I</t>
        </is>
      </c>
      <c r="D1033" s="23" t="inlineStr">
        <is>
          <t>HWD62I</t>
        </is>
      </c>
      <c r="H1033" s="23" t="n">
        <v>240000</v>
      </c>
      <c r="I1033" s="23" t="n">
        <v>240000</v>
      </c>
      <c r="J1033" s="23" t="inlineStr">
        <is>
          <t>efectivo</t>
        </is>
      </c>
    </row>
    <row r="1034" hidden="1" customFormat="1" s="23">
      <c r="A1034" s="38" t="n">
        <v>46225</v>
      </c>
      <c r="B1034" s="23" t="inlineStr">
        <is>
          <t>Yesenia</t>
        </is>
      </c>
      <c r="C1034" s="23" t="inlineStr">
        <is>
          <t>Bajaj HWO 62I</t>
        </is>
      </c>
      <c r="D1034" s="23" t="inlineStr">
        <is>
          <t>HWD62I</t>
        </is>
      </c>
      <c r="H1034" s="23" t="n">
        <v>240000</v>
      </c>
      <c r="I1034" s="23" t="n">
        <v>240000</v>
      </c>
      <c r="J1034" s="23" t="inlineStr">
        <is>
          <t>efectivo</t>
        </is>
      </c>
    </row>
    <row r="1035" hidden="1" customFormat="1" s="23">
      <c r="A1035" s="38" t="n">
        <v>46213</v>
      </c>
      <c r="B1035" s="23" t="inlineStr">
        <is>
          <t>Alvania</t>
        </is>
      </c>
      <c r="C1035" s="23" t="inlineStr">
        <is>
          <t>Bajaj HWD 78I</t>
        </is>
      </c>
      <c r="D1035" s="23" t="inlineStr">
        <is>
          <t>HWD78I</t>
        </is>
      </c>
      <c r="H1035" s="23" t="n">
        <v>240000</v>
      </c>
      <c r="I1035" s="23" t="n">
        <v>240000</v>
      </c>
      <c r="J1035" s="23" t="inlineStr">
        <is>
          <t>efectivo</t>
        </is>
      </c>
    </row>
    <row r="1036" hidden="1" customFormat="1" s="23">
      <c r="A1036" s="38" t="n">
        <v>46220</v>
      </c>
      <c r="B1036" s="23" t="inlineStr">
        <is>
          <t>Alvania</t>
        </is>
      </c>
      <c r="C1036" s="23" t="inlineStr">
        <is>
          <t>Bajaj HWD 78I</t>
        </is>
      </c>
      <c r="D1036" s="23" t="inlineStr">
        <is>
          <t>HWD78I</t>
        </is>
      </c>
      <c r="H1036" s="23" t="n">
        <v>240000</v>
      </c>
      <c r="I1036" s="23" t="n">
        <v>240000</v>
      </c>
      <c r="J1036" s="23" t="inlineStr">
        <is>
          <t>efectivo</t>
        </is>
      </c>
    </row>
    <row r="1037" hidden="1" customFormat="1" s="23">
      <c r="A1037" s="38" t="n">
        <v>46230</v>
      </c>
      <c r="B1037" s="23" t="inlineStr">
        <is>
          <t>Dorlys Jose Julio</t>
        </is>
      </c>
      <c r="C1037" s="23" t="inlineStr">
        <is>
          <t>Bajaj EYO 11H</t>
        </is>
      </c>
      <c r="D1037" s="23" t="inlineStr">
        <is>
          <t>EYO11H</t>
        </is>
      </c>
      <c r="H1037" s="23" t="n">
        <v>240000</v>
      </c>
      <c r="I1037" s="23" t="n">
        <v>240000</v>
      </c>
      <c r="J1037" s="23" t="inlineStr">
        <is>
          <t>efectivo</t>
        </is>
      </c>
    </row>
    <row r="1038" hidden="1" customFormat="1" s="23">
      <c r="A1038" s="24" t="n">
        <v>46232</v>
      </c>
      <c r="B1038" s="23" t="inlineStr">
        <is>
          <t>Wilmar Ivis</t>
        </is>
      </c>
      <c r="C1038" s="23" t="inlineStr">
        <is>
          <t>Bajaj KEW 27H</t>
        </is>
      </c>
      <c r="D1038" s="23" t="inlineStr">
        <is>
          <t>KEW27H</t>
        </is>
      </c>
      <c r="H1038" s="23" t="n">
        <v>240000</v>
      </c>
      <c r="I1038" s="23" t="n">
        <v>240000</v>
      </c>
      <c r="J1038" s="23" t="inlineStr">
        <is>
          <t>efectivo</t>
        </is>
      </c>
    </row>
    <row r="1039" hidden="1" customFormat="1" s="23">
      <c r="A1039" s="24" t="n">
        <v>46228</v>
      </c>
      <c r="B1039" s="23" t="inlineStr">
        <is>
          <t>Jesus Morales Yuliana Olivares</t>
        </is>
      </c>
      <c r="C1039" s="23" t="inlineStr">
        <is>
          <t>Bajaj KFK 17H</t>
        </is>
      </c>
      <c r="D1039" s="23" t="inlineStr">
        <is>
          <t>KFK17H</t>
        </is>
      </c>
      <c r="H1039" s="23" t="n">
        <v>240000</v>
      </c>
      <c r="I1039" s="23" t="n">
        <v>240000</v>
      </c>
      <c r="J1039" s="23" t="inlineStr">
        <is>
          <t>efectivo</t>
        </is>
      </c>
    </row>
    <row r="1040" hidden="1" customFormat="1" s="23">
      <c r="A1040" s="24" t="n">
        <v>46211</v>
      </c>
      <c r="B1040" s="23" t="inlineStr">
        <is>
          <t>Asmed Brenda</t>
        </is>
      </c>
      <c r="C1040" s="23" t="inlineStr">
        <is>
          <t>Bajaj OSZ 46H</t>
        </is>
      </c>
      <c r="D1040" s="23" t="inlineStr">
        <is>
          <t>OSZ46H</t>
        </is>
      </c>
      <c r="H1040" s="23" t="n">
        <v>240000</v>
      </c>
      <c r="I1040" s="23" t="n">
        <v>240000</v>
      </c>
      <c r="J1040" s="23" t="inlineStr">
        <is>
          <t>efectivo</t>
        </is>
      </c>
    </row>
    <row r="1041" hidden="1" customFormat="1" s="23">
      <c r="A1041" s="24" t="n">
        <v>46227</v>
      </c>
      <c r="B1041" s="23" t="inlineStr">
        <is>
          <t>Chacal Caterine</t>
        </is>
      </c>
      <c r="C1041" s="23" t="inlineStr">
        <is>
          <t>Bajaj OSZ 43H</t>
        </is>
      </c>
      <c r="D1041" s="23" t="inlineStr">
        <is>
          <t>OSZ43H</t>
        </is>
      </c>
      <c r="H1041" s="23" t="n">
        <v>240000</v>
      </c>
      <c r="I1041" s="23" t="n">
        <v>240000</v>
      </c>
      <c r="J1041" s="23" t="inlineStr">
        <is>
          <t>efectivo</t>
        </is>
      </c>
    </row>
    <row r="1042" hidden="1" customFormat="1" s="23">
      <c r="A1042" s="24" t="n">
        <v>46203</v>
      </c>
      <c r="B1042" s="23" t="inlineStr">
        <is>
          <t>Wilian Viejo</t>
        </is>
      </c>
      <c r="C1042" s="23" t="inlineStr">
        <is>
          <t>Bajaj OTE 02H</t>
        </is>
      </c>
      <c r="D1042" s="23" t="inlineStr">
        <is>
          <t>OTE02H</t>
        </is>
      </c>
      <c r="H1042" s="23" t="n">
        <v>240000</v>
      </c>
      <c r="I1042" s="23" t="n">
        <v>240000</v>
      </c>
      <c r="J1042" s="23" t="inlineStr">
        <is>
          <t>efectivo</t>
        </is>
      </c>
    </row>
    <row r="1043" hidden="1" customFormat="1" s="23">
      <c r="A1043" s="24" t="n">
        <v>46215</v>
      </c>
      <c r="B1043" s="23" t="inlineStr">
        <is>
          <t>Wilian Viejo</t>
        </is>
      </c>
      <c r="C1043" s="23" t="inlineStr">
        <is>
          <t>Bajaj OTE 02H</t>
        </is>
      </c>
      <c r="D1043" s="23" t="inlineStr">
        <is>
          <t>OTE02H</t>
        </is>
      </c>
      <c r="H1043" s="23" t="n">
        <v>240000</v>
      </c>
      <c r="I1043" s="23" t="n">
        <v>240000</v>
      </c>
      <c r="J1043" s="23" t="inlineStr">
        <is>
          <t>efectivo</t>
        </is>
      </c>
    </row>
    <row r="1044" hidden="1" customFormat="1" s="23">
      <c r="A1044" s="24" t="n">
        <v>46224</v>
      </c>
      <c r="B1044" s="23" t="inlineStr">
        <is>
          <t>Wilian Viejo</t>
        </is>
      </c>
      <c r="C1044" s="23" t="inlineStr">
        <is>
          <t>Bajaj OTE 02H</t>
        </is>
      </c>
      <c r="D1044" s="23" t="inlineStr">
        <is>
          <t>OTE02H</t>
        </is>
      </c>
      <c r="H1044" s="23" t="n">
        <v>240000</v>
      </c>
      <c r="I1044" s="23" t="n">
        <v>240000</v>
      </c>
      <c r="J1044" s="23" t="inlineStr">
        <is>
          <t>efectivo</t>
        </is>
      </c>
    </row>
    <row r="1045" hidden="1" customFormat="1" s="23">
      <c r="A1045" s="24" t="n">
        <v>46209</v>
      </c>
      <c r="B1045" s="23" t="inlineStr">
        <is>
          <t>Darwin Yaimis Ysabel</t>
        </is>
      </c>
      <c r="C1045" s="23" t="inlineStr">
        <is>
          <t>Bajaj OTE 80H</t>
        </is>
      </c>
      <c r="D1045" s="23" t="inlineStr">
        <is>
          <t>OTE80H</t>
        </is>
      </c>
      <c r="H1045" s="23" t="n">
        <v>240000</v>
      </c>
      <c r="I1045" s="23" t="n">
        <v>240000</v>
      </c>
      <c r="J1045" s="23" t="inlineStr">
        <is>
          <t>efectivo</t>
        </is>
      </c>
    </row>
    <row r="1046" hidden="1" customFormat="1" s="23">
      <c r="A1046" s="24" t="n">
        <v>46240</v>
      </c>
      <c r="B1046" s="23" t="inlineStr">
        <is>
          <t>Negro Luis Ney</t>
        </is>
      </c>
      <c r="C1046" s="23" t="inlineStr">
        <is>
          <t>Bajaj OTE 68H</t>
        </is>
      </c>
      <c r="D1046" s="23" t="inlineStr">
        <is>
          <t>OTE68H</t>
        </is>
      </c>
      <c r="H1046" s="23" t="n">
        <v>240000</v>
      </c>
      <c r="I1046" s="23" t="n">
        <v>240000</v>
      </c>
      <c r="J1046" s="23" t="inlineStr">
        <is>
          <t>efectivo</t>
        </is>
      </c>
    </row>
    <row r="1047" hidden="1" customFormat="1" s="23">
      <c r="A1047" s="24" t="n">
        <v>46234</v>
      </c>
      <c r="B1047" s="23" t="inlineStr">
        <is>
          <t>Sr Pedro</t>
        </is>
      </c>
      <c r="C1047" s="23" t="inlineStr">
        <is>
          <t>Bajaj OTG 82H</t>
        </is>
      </c>
      <c r="D1047" s="23" t="inlineStr">
        <is>
          <t>OTG82H</t>
        </is>
      </c>
      <c r="H1047" s="23" t="n">
        <v>240000</v>
      </c>
      <c r="I1047" s="23" t="n">
        <v>240000</v>
      </c>
      <c r="J1047" s="23" t="inlineStr">
        <is>
          <t>efectivo</t>
        </is>
      </c>
    </row>
    <row r="1048" hidden="1" customFormat="1" s="23">
      <c r="A1048" s="24" t="n">
        <v>46233</v>
      </c>
      <c r="B1048" s="23" t="inlineStr">
        <is>
          <t>Lucho Laura Nosu</t>
        </is>
      </c>
      <c r="C1048" s="23" t="inlineStr">
        <is>
          <t>Bajaj OTF 59H</t>
        </is>
      </c>
      <c r="D1048" s="23" t="inlineStr">
        <is>
          <t>OTF59H</t>
        </is>
      </c>
      <c r="H1048" s="23" t="n">
        <v>240000</v>
      </c>
      <c r="I1048" s="23" t="n">
        <v>240000</v>
      </c>
      <c r="J1048" s="23" t="inlineStr">
        <is>
          <t>efectivo</t>
        </is>
      </c>
    </row>
    <row r="1049" hidden="1" customFormat="1" s="25">
      <c r="A1049" s="26" t="n">
        <v>46227</v>
      </c>
      <c r="B1049" s="25" t="inlineStr">
        <is>
          <t>Brayan</t>
        </is>
      </c>
      <c r="C1049" s="25" t="inlineStr">
        <is>
          <t>Bajaj OUA 19H</t>
        </is>
      </c>
      <c r="D1049" s="25" t="inlineStr">
        <is>
          <t>OUA19H</t>
        </is>
      </c>
      <c r="H1049" s="25" t="n">
        <v>240000</v>
      </c>
      <c r="I1049" s="25" t="n">
        <v>240000</v>
      </c>
      <c r="J1049" s="25" t="inlineStr">
        <is>
          <t>efectivo</t>
        </is>
      </c>
      <c r="L1049" s="25" t="inlineStr">
        <is>
          <t xml:space="preserve">revisar no me acuerdo si pertenece </t>
        </is>
      </c>
    </row>
    <row r="1050" hidden="1" customFormat="1" s="23">
      <c r="A1050" s="24" t="n">
        <v>46234</v>
      </c>
      <c r="B1050" s="23" t="inlineStr">
        <is>
          <t>Brayan</t>
        </is>
      </c>
      <c r="C1050" s="23" t="inlineStr">
        <is>
          <t>Bajaj OUA 19H</t>
        </is>
      </c>
      <c r="D1050" s="23" t="inlineStr">
        <is>
          <t>OUA19H</t>
        </is>
      </c>
      <c r="H1050" s="23" t="n">
        <v>240000</v>
      </c>
      <c r="I1050" s="23" t="n">
        <v>240000</v>
      </c>
      <c r="J1050" s="23" t="inlineStr">
        <is>
          <t>efectivo</t>
        </is>
      </c>
      <c r="L1050" s="23" t="inlineStr">
        <is>
          <t xml:space="preserve">revisar no me acuerdo si pertenece </t>
        </is>
      </c>
    </row>
    <row r="1051" customFormat="1" s="23">
      <c r="A1051" s="24" t="n">
        <v>46221</v>
      </c>
      <c r="B1051" s="23" t="inlineStr">
        <is>
          <t>Gustavo Primo</t>
        </is>
      </c>
      <c r="C1051" s="23" t="inlineStr">
        <is>
          <t>Bajaj OON 66H</t>
        </is>
      </c>
      <c r="D1051" s="23" t="inlineStr">
        <is>
          <t>OON66H</t>
        </is>
      </c>
      <c r="H1051" s="23" t="n">
        <v>240000</v>
      </c>
      <c r="I1051" s="23" t="n">
        <v>240000</v>
      </c>
      <c r="J1051" s="23" t="inlineStr">
        <is>
          <t>efectivo</t>
        </is>
      </c>
    </row>
    <row r="1052" hidden="1" customFormat="1" s="23">
      <c r="A1052" s="24" t="n">
        <v>46210</v>
      </c>
      <c r="B1052" s="23" t="inlineStr">
        <is>
          <t>Efrain</t>
        </is>
      </c>
      <c r="C1052" s="23" t="inlineStr">
        <is>
          <t>Bajaj OTZ 01H</t>
        </is>
      </c>
      <c r="D1052" s="23" t="inlineStr">
        <is>
          <t>OTZ01H</t>
        </is>
      </c>
      <c r="H1052" s="23" t="n">
        <v>240000</v>
      </c>
      <c r="I1052" s="23" t="n">
        <v>480000</v>
      </c>
      <c r="J1052" s="23" t="inlineStr">
        <is>
          <t>efectivo</t>
        </is>
      </c>
    </row>
    <row r="1053" hidden="1" customFormat="1" s="23">
      <c r="A1053" s="24" t="n">
        <v>46234</v>
      </c>
      <c r="B1053" s="23" t="inlineStr">
        <is>
          <t>Katherine</t>
        </is>
      </c>
      <c r="C1053" s="23" t="inlineStr">
        <is>
          <t>Bajaj OUB 81H</t>
        </is>
      </c>
      <c r="D1053" s="23" t="inlineStr">
        <is>
          <t>OUB81H</t>
        </is>
      </c>
      <c r="H1053" s="23" t="n">
        <v>240000</v>
      </c>
      <c r="I1053" s="23" t="n">
        <v>240000</v>
      </c>
      <c r="J1053" s="23" t="inlineStr">
        <is>
          <t>efectivo</t>
        </is>
      </c>
    </row>
    <row r="1054" hidden="1" customFormat="1" s="23">
      <c r="A1054" s="24" t="n">
        <v>46227</v>
      </c>
      <c r="B1054" s="23" t="inlineStr">
        <is>
          <t>Juan David-Ana Milena</t>
        </is>
      </c>
      <c r="C1054" s="23" t="inlineStr">
        <is>
          <t>Bajaj UPY 65H</t>
        </is>
      </c>
      <c r="D1054" s="23" t="inlineStr">
        <is>
          <t>UPY65H</t>
        </is>
      </c>
      <c r="H1054" s="23" t="n">
        <v>240000</v>
      </c>
      <c r="I1054" s="23" t="n">
        <v>240000</v>
      </c>
      <c r="J1054" s="23" t="inlineStr">
        <is>
          <t>efectivo</t>
        </is>
      </c>
    </row>
    <row r="1055" hidden="1" customFormat="1" s="23">
      <c r="A1055" s="24" t="n">
        <v>46232</v>
      </c>
      <c r="B1055" s="23" t="inlineStr">
        <is>
          <t>Juan David-Ana Milena</t>
        </is>
      </c>
      <c r="C1055" s="23" t="inlineStr">
        <is>
          <t>Bajaj UPY 65H</t>
        </is>
      </c>
      <c r="D1055" s="23" t="inlineStr">
        <is>
          <t>UPY65H</t>
        </is>
      </c>
      <c r="H1055" s="23" t="n">
        <v>240000</v>
      </c>
      <c r="I1055" s="23" t="n">
        <v>240000</v>
      </c>
      <c r="J1055" s="23" t="inlineStr">
        <is>
          <t>efectivo</t>
        </is>
      </c>
    </row>
    <row r="1056" hidden="1" customFormat="1" s="23">
      <c r="A1056" s="24" t="n">
        <v>46198</v>
      </c>
      <c r="B1056" s="23" t="inlineStr">
        <is>
          <t>Sr Luis</t>
        </is>
      </c>
      <c r="C1056" s="23" t="inlineStr">
        <is>
          <t>Bajaj UYZ 32H</t>
        </is>
      </c>
      <c r="D1056" s="23" t="inlineStr">
        <is>
          <t>UYZ32H</t>
        </is>
      </c>
      <c r="H1056" s="23" t="n">
        <v>240000</v>
      </c>
      <c r="I1056" s="23" t="n">
        <v>240000</v>
      </c>
      <c r="J1056" s="23" t="inlineStr">
        <is>
          <t>efectivo</t>
        </is>
      </c>
    </row>
    <row r="1057" hidden="1" customFormat="1" s="23">
      <c r="A1057" s="24" t="n">
        <v>46230</v>
      </c>
      <c r="B1057" s="23" t="inlineStr">
        <is>
          <t>Jorge Estrada</t>
        </is>
      </c>
      <c r="C1057" s="23" t="inlineStr">
        <is>
          <t>Bajaj BJH 66I</t>
        </is>
      </c>
      <c r="D1057" s="23" t="inlineStr">
        <is>
          <t>BJH66I</t>
        </is>
      </c>
      <c r="H1057" s="23" t="n">
        <v>240000</v>
      </c>
      <c r="I1057" s="23" t="n">
        <v>240000</v>
      </c>
      <c r="J1057" s="23" t="inlineStr">
        <is>
          <t>efectivo</t>
        </is>
      </c>
    </row>
    <row r="1058" hidden="1" customFormat="1" s="23">
      <c r="A1058" s="24" t="n">
        <v>46208</v>
      </c>
      <c r="B1058" s="23" t="inlineStr">
        <is>
          <t>Daniela Nuñez</t>
        </is>
      </c>
      <c r="C1058" s="23" t="inlineStr">
        <is>
          <t>Bajaj BJK 95I</t>
        </is>
      </c>
      <c r="D1058" s="23" t="inlineStr">
        <is>
          <t>BJK95I</t>
        </is>
      </c>
      <c r="H1058" s="23" t="n">
        <v>420000</v>
      </c>
      <c r="I1058" s="23" t="n">
        <v>420000</v>
      </c>
      <c r="J1058" s="23" t="inlineStr">
        <is>
          <t>efectivo</t>
        </is>
      </c>
    </row>
    <row r="1059" hidden="1" customFormat="1" s="23">
      <c r="A1059" s="24" t="n">
        <v>46225</v>
      </c>
      <c r="B1059" s="23" t="inlineStr">
        <is>
          <t>Alejandro</t>
        </is>
      </c>
      <c r="C1059" s="23" t="inlineStr">
        <is>
          <t>Bajaj OKS 30I</t>
        </is>
      </c>
      <c r="D1059" s="23" t="inlineStr">
        <is>
          <t>OKS30I</t>
        </is>
      </c>
      <c r="H1059" s="23" t="n">
        <v>240000</v>
      </c>
      <c r="I1059" s="23" t="n">
        <v>240000</v>
      </c>
      <c r="J1059" s="23" t="inlineStr">
        <is>
          <t>efectivo</t>
        </is>
      </c>
    </row>
    <row r="1060" hidden="1" customFormat="1" s="23">
      <c r="A1060" s="38" t="n">
        <v>46182</v>
      </c>
      <c r="B1060" s="23" t="inlineStr">
        <is>
          <t>Karluis</t>
        </is>
      </c>
      <c r="C1060" s="23" t="inlineStr">
        <is>
          <t>Bajaj BLB 45I</t>
        </is>
      </c>
      <c r="D1060" s="23" t="inlineStr">
        <is>
          <t>BLB45I</t>
        </is>
      </c>
      <c r="H1060" s="23" t="n">
        <v>240000</v>
      </c>
      <c r="I1060" s="23" t="n">
        <v>240000</v>
      </c>
      <c r="J1060" s="23" t="inlineStr">
        <is>
          <t>efectivo</t>
        </is>
      </c>
    </row>
    <row r="1061" hidden="1" customFormat="1" s="23">
      <c r="A1061" s="38" t="n">
        <v>46221</v>
      </c>
      <c r="B1061" s="23" t="inlineStr">
        <is>
          <t>Karluis</t>
        </is>
      </c>
      <c r="C1061" s="23" t="inlineStr">
        <is>
          <t>Bajaj BLB 45I</t>
        </is>
      </c>
      <c r="D1061" s="23" t="inlineStr">
        <is>
          <t>BLB45I</t>
        </is>
      </c>
      <c r="H1061" s="23" t="n">
        <v>240000</v>
      </c>
      <c r="I1061" s="23" t="n">
        <v>240000</v>
      </c>
      <c r="J1061" s="23" t="inlineStr">
        <is>
          <t>efectivo</t>
        </is>
      </c>
    </row>
    <row r="1062" hidden="1" customFormat="1" s="23">
      <c r="A1062" s="24" t="n">
        <v>46230</v>
      </c>
      <c r="B1062" s="23" t="inlineStr">
        <is>
          <t>Karluis</t>
        </is>
      </c>
      <c r="C1062" s="23" t="inlineStr">
        <is>
          <t>Bajaj BLB 45I</t>
        </is>
      </c>
      <c r="D1062" s="23" t="inlineStr">
        <is>
          <t>BLB45I</t>
        </is>
      </c>
      <c r="H1062" s="23" t="n">
        <v>240000</v>
      </c>
      <c r="I1062" s="23" t="n">
        <v>240000</v>
      </c>
      <c r="J1062" s="23" t="inlineStr">
        <is>
          <t>efectivo</t>
        </is>
      </c>
    </row>
    <row r="1063" hidden="1" customFormat="1" s="23">
      <c r="A1063" s="24" t="n">
        <v>46233</v>
      </c>
      <c r="B1063" s="23" t="inlineStr">
        <is>
          <t>Francisco (Buñuelo)</t>
        </is>
      </c>
      <c r="C1063" s="23" t="inlineStr">
        <is>
          <t>Bajaj BLG 78I</t>
        </is>
      </c>
      <c r="D1063" s="23" t="inlineStr">
        <is>
          <t>BLG78I</t>
        </is>
      </c>
      <c r="H1063" s="23" t="n">
        <v>190000</v>
      </c>
      <c r="I1063" s="23" t="n">
        <v>190000</v>
      </c>
      <c r="J1063" s="23" t="inlineStr">
        <is>
          <t>efectivo</t>
        </is>
      </c>
    </row>
    <row r="1064" hidden="1" customFormat="1" s="23">
      <c r="A1064" s="24" t="n">
        <v>46232</v>
      </c>
      <c r="B1064" s="23" t="inlineStr">
        <is>
          <t>Yesenia</t>
        </is>
      </c>
      <c r="C1064" s="23" t="inlineStr">
        <is>
          <t>Bajaj HWO 62I</t>
        </is>
      </c>
      <c r="D1064" s="23" t="inlineStr">
        <is>
          <t>HWD62I</t>
        </is>
      </c>
      <c r="H1064" s="23" t="n">
        <v>240000</v>
      </c>
      <c r="I1064" s="23" t="n">
        <v>240000</v>
      </c>
      <c r="J1064" s="23" t="inlineStr">
        <is>
          <t>efectivo</t>
        </is>
      </c>
    </row>
    <row r="1065" hidden="1" customFormat="1" s="23">
      <c r="A1065" s="24" t="n">
        <v>46227</v>
      </c>
      <c r="B1065" s="23" t="inlineStr">
        <is>
          <t>Alvania</t>
        </is>
      </c>
      <c r="C1065" s="23" t="inlineStr">
        <is>
          <t>Bajaj HWD 78I</t>
        </is>
      </c>
      <c r="D1065" s="23" t="inlineStr">
        <is>
          <t>HWD78I</t>
        </is>
      </c>
      <c r="H1065" s="23" t="n">
        <v>240000</v>
      </c>
      <c r="I1065" s="23" t="n">
        <v>240000</v>
      </c>
      <c r="J1065" s="23" t="inlineStr">
        <is>
          <t>efectivo</t>
        </is>
      </c>
    </row>
    <row r="1066" hidden="1" customFormat="1" s="23">
      <c r="A1066" s="24" t="n">
        <v>46234</v>
      </c>
      <c r="B1066" s="23" t="inlineStr">
        <is>
          <t>Alvania</t>
        </is>
      </c>
      <c r="C1066" s="23" t="inlineStr">
        <is>
          <t>Bajaj HWD 78I</t>
        </is>
      </c>
      <c r="D1066" s="23" t="inlineStr">
        <is>
          <t>HWD78I</t>
        </is>
      </c>
      <c r="H1066" s="23" t="n">
        <v>240000</v>
      </c>
      <c r="I1066" s="23" t="n">
        <v>240000</v>
      </c>
      <c r="J1066" s="23" t="inlineStr">
        <is>
          <t>efectivo</t>
        </is>
      </c>
    </row>
    <row r="1067" hidden="1" customFormat="1" s="23">
      <c r="A1067" s="24" t="n">
        <v>46232</v>
      </c>
      <c r="B1067" s="23" t="inlineStr">
        <is>
          <t>Yorkis- Yuranis</t>
        </is>
      </c>
      <c r="D1067" s="23" t="inlineStr">
        <is>
          <t>HWM11I</t>
        </is>
      </c>
      <c r="H1067" s="23" t="n">
        <v>240000</v>
      </c>
      <c r="I1067" s="23" t="n">
        <v>240000</v>
      </c>
      <c r="J1067" s="23" t="inlineStr">
        <is>
          <t>efectivo</t>
        </is>
      </c>
    </row>
    <row r="1068" hidden="1" customFormat="1" s="23">
      <c r="A1068" s="24" t="n">
        <v>46238</v>
      </c>
      <c r="B1068" s="23" t="inlineStr">
        <is>
          <t>Yorkis- Yuranis</t>
        </is>
      </c>
      <c r="D1068" s="23" t="inlineStr">
        <is>
          <t>HWM11I</t>
        </is>
      </c>
      <c r="H1068" s="23" t="n">
        <v>240000</v>
      </c>
      <c r="I1068" s="23" t="n">
        <v>240000</v>
      </c>
      <c r="J1068" s="23" t="inlineStr">
        <is>
          <t>efectivo</t>
        </is>
      </c>
    </row>
    <row r="1069" hidden="1" customFormat="1" s="23">
      <c r="A1069" s="24" t="n">
        <v>46217</v>
      </c>
      <c r="B1069" s="23" t="inlineStr">
        <is>
          <t>Darwin Yaimis Ysabel</t>
        </is>
      </c>
      <c r="C1069" s="23" t="inlineStr">
        <is>
          <t>Bajaj OTE 80H</t>
        </is>
      </c>
      <c r="D1069" s="23" t="inlineStr">
        <is>
          <t>OTE80H</t>
        </is>
      </c>
      <c r="H1069" s="23" t="n">
        <v>240000</v>
      </c>
      <c r="I1069" s="23" t="n">
        <v>240000</v>
      </c>
      <c r="J1069" s="23" t="inlineStr">
        <is>
          <t>efectivo</t>
        </is>
      </c>
    </row>
    <row r="1070" hidden="1" customFormat="1" s="23">
      <c r="A1070" s="24" t="n">
        <v>46224</v>
      </c>
      <c r="B1070" s="23" t="inlineStr">
        <is>
          <t>Darwin Yaimis Ysabel</t>
        </is>
      </c>
      <c r="C1070" s="23" t="inlineStr">
        <is>
          <t>Bajaj OTE 80H</t>
        </is>
      </c>
      <c r="D1070" s="23" t="inlineStr">
        <is>
          <t>OTE80H</t>
        </is>
      </c>
      <c r="H1070" s="23" t="n">
        <v>240000</v>
      </c>
      <c r="I1070" s="23" t="n">
        <v>240000</v>
      </c>
      <c r="J1070" s="23" t="inlineStr">
        <is>
          <t>efectivo</t>
        </is>
      </c>
    </row>
    <row r="1071" hidden="1" customFormat="1" s="23">
      <c r="A1071" s="24" t="n">
        <v>46225</v>
      </c>
      <c r="B1071" s="23" t="inlineStr">
        <is>
          <t>Efrain</t>
        </is>
      </c>
      <c r="C1071" s="23" t="inlineStr">
        <is>
          <t>Bajaj OTZ 01H</t>
        </is>
      </c>
      <c r="D1071" s="23" t="inlineStr">
        <is>
          <t>OTZ01H</t>
        </is>
      </c>
      <c r="H1071" s="23" t="n">
        <v>240000</v>
      </c>
      <c r="I1071" s="23" t="n">
        <v>480000</v>
      </c>
      <c r="J1071" s="23" t="inlineStr">
        <is>
          <t>efectivo</t>
        </is>
      </c>
    </row>
    <row r="1072" hidden="1" customFormat="1" s="23">
      <c r="A1072" s="24" t="n">
        <v>46206</v>
      </c>
      <c r="B1072" s="23" t="inlineStr">
        <is>
          <t>Sr Luis</t>
        </is>
      </c>
      <c r="C1072" s="23" t="inlineStr">
        <is>
          <t>Bajaj UYZ 32H</t>
        </is>
      </c>
      <c r="D1072" s="23" t="inlineStr">
        <is>
          <t>UYZ32H</t>
        </is>
      </c>
      <c r="H1072" s="23" t="n">
        <v>240000</v>
      </c>
      <c r="I1072" s="23" t="n">
        <v>240000</v>
      </c>
      <c r="J1072" s="23" t="inlineStr">
        <is>
          <t>efectivo</t>
        </is>
      </c>
    </row>
    <row r="1073" hidden="1" customFormat="1" s="23">
      <c r="A1073" s="24" t="n">
        <v>46214</v>
      </c>
      <c r="B1073" s="23" t="inlineStr">
        <is>
          <t>Sr Luis</t>
        </is>
      </c>
      <c r="C1073" s="23" t="inlineStr">
        <is>
          <t>Bajaj UYZ 32H</t>
        </is>
      </c>
      <c r="D1073" s="23" t="inlineStr">
        <is>
          <t>UYZ32H</t>
        </is>
      </c>
      <c r="H1073" s="23" t="n">
        <v>240000</v>
      </c>
      <c r="I1073" s="23" t="n">
        <v>240000</v>
      </c>
      <c r="J1073" s="23" t="inlineStr">
        <is>
          <t>efectivo</t>
        </is>
      </c>
    </row>
    <row r="1074" hidden="1" customFormat="1" s="23">
      <c r="A1074" s="24" t="n">
        <v>46222</v>
      </c>
      <c r="B1074" s="23" t="inlineStr">
        <is>
          <t>Sr Luis</t>
        </is>
      </c>
      <c r="C1074" s="23" t="inlineStr">
        <is>
          <t>Bajaj UYZ 32H</t>
        </is>
      </c>
      <c r="D1074" s="23" t="inlineStr">
        <is>
          <t>UYZ32H</t>
        </is>
      </c>
      <c r="H1074" s="23" t="n">
        <v>240000</v>
      </c>
      <c r="I1074" s="23" t="n">
        <v>240000</v>
      </c>
      <c r="J1074" s="23" t="inlineStr">
        <is>
          <t>efectivo</t>
        </is>
      </c>
    </row>
    <row r="1075" hidden="1" customFormat="1" s="23">
      <c r="A1075" s="24" t="n">
        <v>46233</v>
      </c>
      <c r="B1075" s="23" t="inlineStr">
        <is>
          <t>Duvan Enrique</t>
        </is>
      </c>
      <c r="C1075" s="23" t="inlineStr">
        <is>
          <t>Bajaj KEB 58H</t>
        </is>
      </c>
      <c r="D1075" s="23" t="inlineStr">
        <is>
          <t>KEB58H</t>
        </is>
      </c>
      <c r="H1075" s="23" t="n">
        <v>240000</v>
      </c>
      <c r="I1075" s="23" t="n">
        <v>240000</v>
      </c>
      <c r="J1075" s="23" t="inlineStr">
        <is>
          <t>efectivo</t>
        </is>
      </c>
    </row>
    <row r="1076" hidden="1" customFormat="1" s="23">
      <c r="A1076" s="24" t="n">
        <v>46237</v>
      </c>
      <c r="B1076" s="23" t="inlineStr">
        <is>
          <t>Chacal Caterine</t>
        </is>
      </c>
      <c r="C1076" s="23" t="inlineStr">
        <is>
          <t>Bajaj OSZ 43H</t>
        </is>
      </c>
      <c r="D1076" s="23" t="inlineStr">
        <is>
          <t>OSZ43H</t>
        </is>
      </c>
      <c r="H1076" s="23" t="n">
        <v>240000</v>
      </c>
      <c r="I1076" s="23" t="n">
        <v>240000</v>
      </c>
      <c r="J1076" s="23" t="inlineStr">
        <is>
          <t>efectivo</t>
        </is>
      </c>
    </row>
    <row r="1077" hidden="1" customFormat="1" s="23">
      <c r="A1077" s="24" t="n">
        <v>46236</v>
      </c>
      <c r="B1077" s="23" t="inlineStr">
        <is>
          <t>Wilian Viejo</t>
        </is>
      </c>
      <c r="C1077" s="23" t="inlineStr">
        <is>
          <t>Bajaj OTE 02H</t>
        </is>
      </c>
      <c r="D1077" s="23" t="inlineStr">
        <is>
          <t>OTE02H</t>
        </is>
      </c>
      <c r="H1077" s="23" t="n">
        <v>240000</v>
      </c>
      <c r="I1077" s="23" t="n">
        <v>240000</v>
      </c>
      <c r="J1077" s="23" t="inlineStr">
        <is>
          <t>efectivo</t>
        </is>
      </c>
    </row>
    <row r="1078" hidden="1" customFormat="1" s="23">
      <c r="A1078" s="24" t="n">
        <v>46226</v>
      </c>
      <c r="B1078" s="23" t="inlineStr">
        <is>
          <t>Heiner Rodriguez</t>
        </is>
      </c>
      <c r="C1078" s="23" t="inlineStr">
        <is>
          <t>Bajaj OXO 04H</t>
        </is>
      </c>
      <c r="D1078" s="23" t="inlineStr">
        <is>
          <t>OYO04H</t>
        </is>
      </c>
      <c r="H1078" s="23" t="n">
        <v>240000</v>
      </c>
      <c r="I1078" s="23" t="n">
        <v>240000</v>
      </c>
      <c r="J1078" s="23" t="inlineStr">
        <is>
          <t>efectivo</t>
        </is>
      </c>
    </row>
    <row r="1079" hidden="1" customFormat="1" s="23">
      <c r="A1079" s="24" t="n">
        <v>46234</v>
      </c>
      <c r="B1079" s="23" t="inlineStr">
        <is>
          <t>Heiner Rodriguez</t>
        </is>
      </c>
      <c r="C1079" s="23" t="inlineStr">
        <is>
          <t>Bajaj OXO 04H</t>
        </is>
      </c>
      <c r="D1079" s="23" t="inlineStr">
        <is>
          <t>OYO04H</t>
        </is>
      </c>
      <c r="H1079" s="23" t="n">
        <v>240000</v>
      </c>
      <c r="I1079" s="23" t="n">
        <v>240000</v>
      </c>
      <c r="J1079" s="23" t="inlineStr">
        <is>
          <t>efectivo</t>
        </is>
      </c>
    </row>
    <row r="1080" hidden="1" customFormat="1" s="23">
      <c r="A1080" s="24" t="n">
        <v>46242</v>
      </c>
      <c r="B1080" s="23" t="inlineStr">
        <is>
          <t>Sr Pedro</t>
        </is>
      </c>
      <c r="C1080" s="23" t="inlineStr">
        <is>
          <t>Bajaj OTG 82H</t>
        </is>
      </c>
      <c r="D1080" s="23" t="inlineStr">
        <is>
          <t>OTG82H</t>
        </is>
      </c>
      <c r="H1080" s="23" t="n">
        <v>240000</v>
      </c>
      <c r="I1080" s="23" t="n">
        <v>240000</v>
      </c>
      <c r="J1080" s="23" t="inlineStr">
        <is>
          <t>efectivo</t>
        </is>
      </c>
    </row>
    <row r="1081" hidden="1" customFormat="1" s="23">
      <c r="A1081" s="24" t="n">
        <v>46227</v>
      </c>
      <c r="B1081" s="23" t="inlineStr">
        <is>
          <t>Edinson El Flaco</t>
        </is>
      </c>
      <c r="C1081" s="23" t="inlineStr">
        <is>
          <t>Bajaj OTR 29H</t>
        </is>
      </c>
      <c r="D1081" s="23" t="inlineStr">
        <is>
          <t>OTR29H</t>
        </is>
      </c>
      <c r="H1081" s="23" t="n">
        <v>240000</v>
      </c>
      <c r="I1081" s="23" t="n">
        <v>240000</v>
      </c>
      <c r="J1081" s="23" t="inlineStr">
        <is>
          <t>efectivo</t>
        </is>
      </c>
    </row>
    <row r="1082" hidden="1" customFormat="1" s="23">
      <c r="A1082" s="24" t="n">
        <v>46235</v>
      </c>
      <c r="B1082" s="23" t="inlineStr">
        <is>
          <t>Edinson El Flaco</t>
        </is>
      </c>
      <c r="C1082" s="23" t="inlineStr">
        <is>
          <t>Bajaj OTR 29H</t>
        </is>
      </c>
      <c r="D1082" s="23" t="inlineStr">
        <is>
          <t>OTR29H</t>
        </is>
      </c>
      <c r="H1082" s="23" t="n">
        <v>240000</v>
      </c>
      <c r="I1082" s="23" t="n">
        <v>240000</v>
      </c>
      <c r="J1082" s="23" t="inlineStr">
        <is>
          <t>efectivo</t>
        </is>
      </c>
    </row>
    <row r="1083" hidden="1" customFormat="1" s="23">
      <c r="A1083" s="24" t="n">
        <v>46241</v>
      </c>
      <c r="B1083" s="23" t="inlineStr">
        <is>
          <t>Edinson El Flaco</t>
        </is>
      </c>
      <c r="C1083" s="23" t="inlineStr">
        <is>
          <t>Bajaj OTR 29H</t>
        </is>
      </c>
      <c r="D1083" s="23" t="inlineStr">
        <is>
          <t>OTR29H</t>
        </is>
      </c>
      <c r="H1083" s="23" t="n">
        <v>240000</v>
      </c>
      <c r="I1083" s="23" t="n">
        <v>240000</v>
      </c>
      <c r="J1083" s="23" t="inlineStr">
        <is>
          <t>efectivo</t>
        </is>
      </c>
    </row>
    <row r="1084" customFormat="1" s="23">
      <c r="A1084" s="24" t="n">
        <v>46235</v>
      </c>
      <c r="B1084" s="23" t="inlineStr">
        <is>
          <t>Gustavo Primo</t>
        </is>
      </c>
      <c r="C1084" s="23" t="inlineStr">
        <is>
          <t>Bajaj OON 66H</t>
        </is>
      </c>
      <c r="D1084" s="23" t="inlineStr">
        <is>
          <t>OON66H</t>
        </is>
      </c>
      <c r="H1084" s="23" t="n">
        <v>240000</v>
      </c>
      <c r="I1084" s="23" t="n">
        <v>240000</v>
      </c>
      <c r="J1084" s="23" t="inlineStr">
        <is>
          <t>efectivo</t>
        </is>
      </c>
    </row>
    <row r="1085" customFormat="1" s="23">
      <c r="A1085" s="24" t="n">
        <v>46235</v>
      </c>
      <c r="B1085" s="23" t="inlineStr">
        <is>
          <t>Gustavo Primo</t>
        </is>
      </c>
      <c r="C1085" s="23" t="inlineStr">
        <is>
          <t>Bajaj OON 66H</t>
        </is>
      </c>
      <c r="D1085" s="23" t="inlineStr">
        <is>
          <t>OON66H</t>
        </is>
      </c>
      <c r="H1085" s="23" t="n">
        <v>240000</v>
      </c>
      <c r="I1085" s="23" t="n">
        <v>240000</v>
      </c>
      <c r="J1085" s="23" t="inlineStr">
        <is>
          <t>efectivo</t>
        </is>
      </c>
    </row>
    <row r="1086" hidden="1" customFormat="1" s="23">
      <c r="A1086" s="24" t="n">
        <v>46218</v>
      </c>
      <c r="B1086" s="23" t="inlineStr">
        <is>
          <t>Asmed Brenda</t>
        </is>
      </c>
      <c r="C1086" s="23" t="inlineStr">
        <is>
          <t>Bajaj OSZ 46H</t>
        </is>
      </c>
      <c r="D1086" s="23" t="inlineStr">
        <is>
          <t>OSZ46H</t>
        </is>
      </c>
      <c r="H1086" s="23" t="n">
        <v>240000</v>
      </c>
      <c r="I1086" s="23" t="n">
        <v>2160000</v>
      </c>
      <c r="J1086" s="23" t="inlineStr">
        <is>
          <t>efectivo</t>
        </is>
      </c>
    </row>
    <row r="1087" hidden="1" customFormat="1" s="23">
      <c r="A1087" s="24" t="n">
        <v>46230</v>
      </c>
      <c r="B1087" s="23" t="inlineStr">
        <is>
          <t>Sr Luis</t>
        </is>
      </c>
      <c r="C1087" s="23" t="inlineStr">
        <is>
          <t>Bajaj UYZ 32H</t>
        </is>
      </c>
      <c r="D1087" s="23" t="inlineStr">
        <is>
          <t>UYZ32H</t>
        </is>
      </c>
      <c r="H1087" s="23" t="n">
        <v>240000</v>
      </c>
      <c r="I1087" s="23" t="n">
        <v>240000</v>
      </c>
      <c r="J1087" s="23" t="inlineStr">
        <is>
          <t>efectivo</t>
        </is>
      </c>
    </row>
    <row r="1088" hidden="1" customFormat="1" s="23">
      <c r="A1088" s="24" t="n">
        <v>46238</v>
      </c>
      <c r="B1088" s="23" t="inlineStr">
        <is>
          <t>Sr Luis</t>
        </is>
      </c>
      <c r="C1088" s="23" t="inlineStr">
        <is>
          <t>Bajaj UYZ 32H</t>
        </is>
      </c>
      <c r="D1088" s="23" t="inlineStr">
        <is>
          <t>UYZ32H</t>
        </is>
      </c>
      <c r="H1088" s="23" t="n">
        <v>240000</v>
      </c>
      <c r="I1088" s="23" t="n">
        <v>240000</v>
      </c>
      <c r="J1088" s="23" t="inlineStr">
        <is>
          <t>efectivo</t>
        </is>
      </c>
    </row>
    <row r="1089" hidden="1" customFormat="1" s="23">
      <c r="A1089" s="24" t="n">
        <v>46234</v>
      </c>
      <c r="B1089" s="23" t="inlineStr">
        <is>
          <t>Alejandro</t>
        </is>
      </c>
      <c r="C1089" s="23" t="inlineStr">
        <is>
          <t>Bajaj OKS 30I</t>
        </is>
      </c>
      <c r="D1089" s="23" t="inlineStr">
        <is>
          <t>OKS30I</t>
        </is>
      </c>
      <c r="H1089" s="23" t="n">
        <v>240000</v>
      </c>
      <c r="I1089" s="23" t="n">
        <v>240000</v>
      </c>
      <c r="J1089" s="23" t="inlineStr">
        <is>
          <t>efectivo</t>
        </is>
      </c>
    </row>
    <row r="1090" hidden="1" s="33">
      <c r="A1090" s="20" t="n">
        <v>46245</v>
      </c>
      <c r="B1090" s="22" t="inlineStr">
        <is>
          <t>Yorkis- Yuranis</t>
        </is>
      </c>
      <c r="D1090" s="22" t="inlineStr">
        <is>
          <t>HWM11I</t>
        </is>
      </c>
      <c r="H1090" s="22" t="n">
        <v>240000</v>
      </c>
      <c r="I1090" s="22" t="n">
        <v>240000</v>
      </c>
      <c r="J1090" s="22" t="inlineStr">
        <is>
          <t>efectivo</t>
        </is>
      </c>
    </row>
    <row r="1091" hidden="1" s="33">
      <c r="A1091" s="20" t="n">
        <v>46252</v>
      </c>
      <c r="B1091" s="22" t="inlineStr">
        <is>
          <t>Yorkis- Yuranis</t>
        </is>
      </c>
      <c r="D1091" s="22" t="inlineStr">
        <is>
          <t>HWM11I</t>
        </is>
      </c>
      <c r="H1091" s="22" t="n">
        <v>240000</v>
      </c>
      <c r="I1091" s="22" t="n">
        <v>240000</v>
      </c>
      <c r="J1091" s="22" t="inlineStr">
        <is>
          <t>efectivo</t>
        </is>
      </c>
    </row>
    <row r="1092" hidden="1" s="33">
      <c r="A1092" s="20" t="n">
        <v>46249</v>
      </c>
      <c r="B1092" s="22" t="inlineStr">
        <is>
          <t>Josue Alzazar</t>
        </is>
      </c>
      <c r="D1092" s="22" t="inlineStr">
        <is>
          <t>HWS86I</t>
        </is>
      </c>
      <c r="H1092" s="22" t="n">
        <v>260000</v>
      </c>
      <c r="I1092" s="22" t="n">
        <v>260000</v>
      </c>
      <c r="J1092" s="22" t="inlineStr">
        <is>
          <t>efectivo</t>
        </is>
      </c>
    </row>
    <row r="1093">
      <c r="A1093" s="39" t="n">
        <v>46256</v>
      </c>
      <c r="B1093" t="inlineStr">
        <is>
          <t>Gustavo Primo</t>
        </is>
      </c>
      <c r="C1093" t="inlineStr">
        <is>
          <t>Bajaj OON 66H</t>
        </is>
      </c>
      <c r="D1093" t="inlineStr">
        <is>
          <t>OON66H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9" t="n">
        <v>46256</v>
      </c>
      <c r="B1094" t="inlineStr">
        <is>
          <t>Gustavo Primo</t>
        </is>
      </c>
      <c r="C1094" t="inlineStr">
        <is>
          <t>Bajaj OON 66H</t>
        </is>
      </c>
      <c r="D1094" t="inlineStr">
        <is>
          <t>OON66H</t>
        </is>
      </c>
      <c r="H1094" t="n">
        <v>240000</v>
      </c>
      <c r="I1094" t="n">
        <v>180000</v>
      </c>
      <c r="J1094" t="inlineStr">
        <is>
          <t>efectivo</t>
        </is>
      </c>
      <c r="P1094" t="inlineStr">
        <is>
          <t>pago conjunto 420k (2 cuotas)</t>
        </is>
      </c>
    </row>
  </sheetData>
  <autoFilter ref="A1:D1092">
    <filterColumn colId="1" hiddenButton="0" showButton="1">
      <filters>
        <filter val="Gustavo Primo"/>
      </filters>
    </filterColumn>
  </autoFilter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pane ySplit="16" topLeftCell="A17" activePane="bottomLeft" state="frozen"/>
      <selection pane="bottomLeft" activeCell="A1" sqref="A1"/>
    </sheetView>
  </sheetViews>
  <sheetFormatPr baseColWidth="10" defaultColWidth="9.09765625" defaultRowHeight="14.4"/>
  <cols>
    <col width="30" customWidth="1" style="33" min="1" max="1"/>
    <col width="18" customWidth="1" style="33" min="2" max="2"/>
    <col width="32" customWidth="1" style="33" min="3" max="3"/>
    <col width="16" customWidth="1" style="33" min="4" max="5"/>
    <col width="18" customWidth="1" style="33" min="6" max="6"/>
  </cols>
  <sheetData>
    <row r="1" ht="38.2" customHeight="1" s="33">
      <c r="A1" s="35" t="inlineStr">
        <is>
          <t>SIMULADOR DE CRÉDITO</t>
        </is>
      </c>
    </row>
    <row r="2" ht="8.1" customHeight="1" s="33"/>
    <row r="3" ht="24.05" customHeight="1" s="33">
      <c r="A3" s="34" t="inlineStr">
        <is>
          <t xml:space="preserve">  PARÁMETROS DE ENTRADA</t>
        </is>
      </c>
    </row>
    <row r="4" ht="24.05" customHeight="1" s="33">
      <c r="A4" s="3" t="inlineStr">
        <is>
          <t>Valor a Financiar  ($)</t>
        </is>
      </c>
      <c r="B4" s="4" t="n">
        <v>0</v>
      </c>
      <c r="C4" s="5" t="inlineStr">
        <is>
          <t>← escribe el monto que vas a prestar</t>
        </is>
      </c>
    </row>
    <row r="5" ht="24.05" customHeight="1" s="33">
      <c r="A5" s="3" t="inlineStr">
        <is>
          <t>Interés Mensual  (%)</t>
        </is>
      </c>
      <c r="B5" s="6" t="n">
        <v>0</v>
      </c>
      <c r="C5" s="5" t="inlineStr">
        <is>
          <t>← ej: 3.5  significa  3.5 % mensual</t>
        </is>
      </c>
    </row>
    <row r="6" ht="24.05" customHeight="1" s="33">
      <c r="A6" s="3" t="inlineStr">
        <is>
          <t>Interés Anual  (%)  —  automático</t>
        </is>
      </c>
      <c r="B6" s="7">
        <f>B5*12</f>
        <v/>
      </c>
      <c r="C6" s="5" t="inlineStr">
        <is>
          <t>← se calcula solo</t>
        </is>
      </c>
    </row>
    <row r="7" ht="24.05" customHeight="1" s="33">
      <c r="A7" s="3" t="inlineStr">
        <is>
          <t>Número de Cuotas  (meses)</t>
        </is>
      </c>
      <c r="B7" s="6" t="n">
        <v>0</v>
      </c>
      <c r="C7" s="5" t="inlineStr">
        <is>
          <t>← ej: 12, 24, 36, 64…</t>
        </is>
      </c>
    </row>
    <row r="8" ht="8.1" customHeight="1" s="33"/>
    <row r="9" ht="24.05" customHeight="1" s="33">
      <c r="A9" s="36" t="inlineStr">
        <is>
          <t xml:space="preserve">  RESULTADOS</t>
        </is>
      </c>
    </row>
    <row r="10" ht="26.1" customHeight="1" s="33">
      <c r="A10" s="8" t="inlineStr">
        <is>
          <t>Cuota Mensual</t>
        </is>
      </c>
      <c r="B10" s="9">
        <f>IFERROR(-PMT(B5/100,B7,-B4),0)</f>
        <v/>
      </c>
    </row>
    <row r="11" ht="26.1" customHeight="1" s="33">
      <c r="A11" s="8" t="inlineStr">
        <is>
          <t>Total a Recibir</t>
        </is>
      </c>
      <c r="B11" s="9">
        <f>B10*B7</f>
        <v/>
      </c>
    </row>
    <row r="12" ht="26.1" customHeight="1" s="33">
      <c r="A12" s="8" t="inlineStr">
        <is>
          <t>Total de Intereses</t>
        </is>
      </c>
      <c r="B12" s="9">
        <f>B11-B4</f>
        <v/>
      </c>
    </row>
    <row r="13" ht="26.1" customHeight="1" s="33">
      <c r="A13" s="8" t="inlineStr">
        <is>
          <t>Capital Financiado</t>
        </is>
      </c>
      <c r="B13" s="9">
        <f>B4</f>
        <v/>
      </c>
    </row>
    <row r="14" ht="8.1" customHeight="1" s="33"/>
    <row r="15" ht="24.05" customHeight="1" s="33">
      <c r="A15" s="34" t="inlineStr">
        <is>
          <t xml:space="preserve">  TABLA DE AMORTIZACIÓN  (se actualiza automáticamente)</t>
        </is>
      </c>
    </row>
    <row r="16" ht="20.2" customHeight="1" s="33">
      <c r="A16" s="10" t="inlineStr">
        <is>
          <t>Cuota #</t>
        </is>
      </c>
      <c r="B16" s="10" t="inlineStr">
        <is>
          <t>Saldo Inicial</t>
        </is>
      </c>
      <c r="C16" s="10" t="inlineStr">
        <is>
          <t>Cuota</t>
        </is>
      </c>
      <c r="D16" s="10" t="inlineStr">
        <is>
          <t>Interés</t>
        </is>
      </c>
      <c r="E16" s="10" t="inlineStr">
        <is>
          <t>Capital</t>
        </is>
      </c>
      <c r="F16" s="10" t="inlineStr">
        <is>
          <t>Saldo Final</t>
        </is>
      </c>
    </row>
    <row r="17" ht="16" customHeight="1" s="33">
      <c r="A17" s="11" t="n">
        <v>1</v>
      </c>
      <c r="B17" s="12">
        <f>IF($B$7&gt;=1,$B$4,0)</f>
        <v/>
      </c>
      <c r="C17" s="12">
        <f>IF(A17&lt;=$B$7,$B$10,0)</f>
        <v/>
      </c>
      <c r="D17" s="12">
        <f>IF(A17&lt;=$B$7,B17*$B$5/100,0)</f>
        <v/>
      </c>
      <c r="E17" s="12">
        <f>IF(A17&lt;=$B$7,C17-D17,0)</f>
        <v/>
      </c>
      <c r="F17" s="12">
        <f>IF(A17&lt;=$B$7,MAX(0,B17-E17),0)</f>
        <v/>
      </c>
    </row>
    <row r="18" ht="16" customHeight="1" s="33">
      <c r="A18" s="13" t="n">
        <v>2</v>
      </c>
      <c r="B18" s="14">
        <f>IF(A18&lt;=$B$7,MAX(0,F17),0)</f>
        <v/>
      </c>
      <c r="C18" s="14">
        <f>IF(A18&lt;=$B$7,$B$10,0)</f>
        <v/>
      </c>
      <c r="D18" s="14">
        <f>IF(A18&lt;=$B$7,B18*$B$5/100,0)</f>
        <v/>
      </c>
      <c r="E18" s="14">
        <f>IF(A18&lt;=$B$7,C18-D18,0)</f>
        <v/>
      </c>
      <c r="F18" s="14">
        <f>IF(A18&lt;=$B$7,MAX(0,B18-E18),0)</f>
        <v/>
      </c>
    </row>
    <row r="19" ht="16" customHeight="1" s="33">
      <c r="A19" s="11" t="n">
        <v>3</v>
      </c>
      <c r="B19" s="12">
        <f>IF(A19&lt;=$B$7,MAX(0,F18),0)</f>
        <v/>
      </c>
      <c r="C19" s="12">
        <f>IF(A19&lt;=$B$7,$B$10,0)</f>
        <v/>
      </c>
      <c r="D19" s="12">
        <f>IF(A19&lt;=$B$7,B19*$B$5/100,0)</f>
        <v/>
      </c>
      <c r="E19" s="12">
        <f>IF(A19&lt;=$B$7,C19-D19,0)</f>
        <v/>
      </c>
      <c r="F19" s="12">
        <f>IF(A19&lt;=$B$7,MAX(0,B19-E19),0)</f>
        <v/>
      </c>
    </row>
    <row r="20" ht="16" customHeight="1" s="33">
      <c r="A20" s="13" t="n">
        <v>4</v>
      </c>
      <c r="B20" s="14">
        <f>IF(A20&lt;=$B$7,MAX(0,F19),0)</f>
        <v/>
      </c>
      <c r="C20" s="14">
        <f>IF(A20&lt;=$B$7,$B$10,0)</f>
        <v/>
      </c>
      <c r="D20" s="14">
        <f>IF(A20&lt;=$B$7,B20*$B$5/100,0)</f>
        <v/>
      </c>
      <c r="E20" s="14">
        <f>IF(A20&lt;=$B$7,C20-D20,0)</f>
        <v/>
      </c>
      <c r="F20" s="14">
        <f>IF(A20&lt;=$B$7,MAX(0,B20-E20),0)</f>
        <v/>
      </c>
    </row>
    <row r="21" ht="16" customHeight="1" s="33">
      <c r="A21" s="11" t="n">
        <v>5</v>
      </c>
      <c r="B21" s="12">
        <f>IF(A21&lt;=$B$7,MAX(0,F20),0)</f>
        <v/>
      </c>
      <c r="C21" s="12">
        <f>IF(A21&lt;=$B$7,$B$10,0)</f>
        <v/>
      </c>
      <c r="D21" s="12">
        <f>IF(A21&lt;=$B$7,B21*$B$5/100,0)</f>
        <v/>
      </c>
      <c r="E21" s="12">
        <f>IF(A21&lt;=$B$7,C21-D21,0)</f>
        <v/>
      </c>
      <c r="F21" s="12">
        <f>IF(A21&lt;=$B$7,MAX(0,B21-E21),0)</f>
        <v/>
      </c>
    </row>
    <row r="22" ht="16" customHeight="1" s="33">
      <c r="A22" s="13" t="n">
        <v>6</v>
      </c>
      <c r="B22" s="14">
        <f>IF(A22&lt;=$B$7,MAX(0,F21),0)</f>
        <v/>
      </c>
      <c r="C22" s="14">
        <f>IF(A22&lt;=$B$7,$B$10,0)</f>
        <v/>
      </c>
      <c r="D22" s="14">
        <f>IF(A22&lt;=$B$7,B22*$B$5/100,0)</f>
        <v/>
      </c>
      <c r="E22" s="14">
        <f>IF(A22&lt;=$B$7,C22-D22,0)</f>
        <v/>
      </c>
      <c r="F22" s="14">
        <f>IF(A22&lt;=$B$7,MAX(0,B22-E22),0)</f>
        <v/>
      </c>
    </row>
    <row r="23" ht="16" customHeight="1" s="33">
      <c r="A23" s="11" t="n">
        <v>7</v>
      </c>
      <c r="B23" s="12">
        <f>IF(A23&lt;=$B$7,MAX(0,F22),0)</f>
        <v/>
      </c>
      <c r="C23" s="12">
        <f>IF(A23&lt;=$B$7,$B$10,0)</f>
        <v/>
      </c>
      <c r="D23" s="12">
        <f>IF(A23&lt;=$B$7,B23*$B$5/100,0)</f>
        <v/>
      </c>
      <c r="E23" s="12">
        <f>IF(A23&lt;=$B$7,C23-D23,0)</f>
        <v/>
      </c>
      <c r="F23" s="12">
        <f>IF(A23&lt;=$B$7,MAX(0,B23-E23),0)</f>
        <v/>
      </c>
    </row>
    <row r="24" ht="16" customHeight="1" s="33">
      <c r="A24" s="13" t="n">
        <v>8</v>
      </c>
      <c r="B24" s="14">
        <f>IF(A24&lt;=$B$7,MAX(0,F23),0)</f>
        <v/>
      </c>
      <c r="C24" s="14">
        <f>IF(A24&lt;=$B$7,$B$10,0)</f>
        <v/>
      </c>
      <c r="D24" s="14">
        <f>IF(A24&lt;=$B$7,B24*$B$5/100,0)</f>
        <v/>
      </c>
      <c r="E24" s="14">
        <f>IF(A24&lt;=$B$7,C24-D24,0)</f>
        <v/>
      </c>
      <c r="F24" s="14">
        <f>IF(A24&lt;=$B$7,MAX(0,B24-E24),0)</f>
        <v/>
      </c>
    </row>
    <row r="25" ht="16" customHeight="1" s="33">
      <c r="A25" s="11" t="n">
        <v>9</v>
      </c>
      <c r="B25" s="12">
        <f>IF(A25&lt;=$B$7,MAX(0,F24),0)</f>
        <v/>
      </c>
      <c r="C25" s="12">
        <f>IF(A25&lt;=$B$7,$B$10,0)</f>
        <v/>
      </c>
      <c r="D25" s="12">
        <f>IF(A25&lt;=$B$7,B25*$B$5/100,0)</f>
        <v/>
      </c>
      <c r="E25" s="12">
        <f>IF(A25&lt;=$B$7,C25-D25,0)</f>
        <v/>
      </c>
      <c r="F25" s="12">
        <f>IF(A25&lt;=$B$7,MAX(0,B25-E25),0)</f>
        <v/>
      </c>
    </row>
    <row r="26" ht="16" customHeight="1" s="33">
      <c r="A26" s="13" t="n">
        <v>10</v>
      </c>
      <c r="B26" s="14">
        <f>IF(A26&lt;=$B$7,MAX(0,F25),0)</f>
        <v/>
      </c>
      <c r="C26" s="14">
        <f>IF(A26&lt;=$B$7,$B$10,0)</f>
        <v/>
      </c>
      <c r="D26" s="14">
        <f>IF(A26&lt;=$B$7,B26*$B$5/100,0)</f>
        <v/>
      </c>
      <c r="E26" s="14">
        <f>IF(A26&lt;=$B$7,C26-D26,0)</f>
        <v/>
      </c>
      <c r="F26" s="14">
        <f>IF(A26&lt;=$B$7,MAX(0,B26-E26),0)</f>
        <v/>
      </c>
    </row>
    <row r="27" ht="16" customHeight="1" s="33">
      <c r="A27" s="11" t="n">
        <v>11</v>
      </c>
      <c r="B27" s="12">
        <f>IF(A27&lt;=$B$7,MAX(0,F26),0)</f>
        <v/>
      </c>
      <c r="C27" s="12">
        <f>IF(A27&lt;=$B$7,$B$10,0)</f>
        <v/>
      </c>
      <c r="D27" s="12">
        <f>IF(A27&lt;=$B$7,B27*$B$5/100,0)</f>
        <v/>
      </c>
      <c r="E27" s="12">
        <f>IF(A27&lt;=$B$7,C27-D27,0)</f>
        <v/>
      </c>
      <c r="F27" s="12">
        <f>IF(A27&lt;=$B$7,MAX(0,B27-E27),0)</f>
        <v/>
      </c>
    </row>
    <row r="28" ht="16" customHeight="1" s="33">
      <c r="A28" s="13" t="n">
        <v>12</v>
      </c>
      <c r="B28" s="14">
        <f>IF(A28&lt;=$B$7,MAX(0,F27),0)</f>
        <v/>
      </c>
      <c r="C28" s="14">
        <f>IF(A28&lt;=$B$7,$B$10,0)</f>
        <v/>
      </c>
      <c r="D28" s="14">
        <f>IF(A28&lt;=$B$7,B28*$B$5/100,0)</f>
        <v/>
      </c>
      <c r="E28" s="14">
        <f>IF(A28&lt;=$B$7,C28-D28,0)</f>
        <v/>
      </c>
      <c r="F28" s="14">
        <f>IF(A28&lt;=$B$7,MAX(0,B28-E28),0)</f>
        <v/>
      </c>
    </row>
    <row r="29" ht="16" customHeight="1" s="33">
      <c r="A29" s="11" t="n">
        <v>13</v>
      </c>
      <c r="B29" s="12">
        <f>IF(A29&lt;=$B$7,MAX(0,F28),0)</f>
        <v/>
      </c>
      <c r="C29" s="12">
        <f>IF(A29&lt;=$B$7,$B$10,0)</f>
        <v/>
      </c>
      <c r="D29" s="12">
        <f>IF(A29&lt;=$B$7,B29*$B$5/100,0)</f>
        <v/>
      </c>
      <c r="E29" s="12">
        <f>IF(A29&lt;=$B$7,C29-D29,0)</f>
        <v/>
      </c>
      <c r="F29" s="12">
        <f>IF(A29&lt;=$B$7,MAX(0,B29-E29),0)</f>
        <v/>
      </c>
    </row>
    <row r="30" ht="16" customHeight="1" s="33">
      <c r="A30" s="13" t="n">
        <v>14</v>
      </c>
      <c r="B30" s="14">
        <f>IF(A30&lt;=$B$7,MAX(0,F29),0)</f>
        <v/>
      </c>
      <c r="C30" s="14">
        <f>IF(A30&lt;=$B$7,$B$10,0)</f>
        <v/>
      </c>
      <c r="D30" s="14">
        <f>IF(A30&lt;=$B$7,B30*$B$5/100,0)</f>
        <v/>
      </c>
      <c r="E30" s="14">
        <f>IF(A30&lt;=$B$7,C30-D30,0)</f>
        <v/>
      </c>
      <c r="F30" s="14">
        <f>IF(A30&lt;=$B$7,MAX(0,B30-E30),0)</f>
        <v/>
      </c>
    </row>
    <row r="31" ht="16" customHeight="1" s="33">
      <c r="A31" s="11" t="n">
        <v>15</v>
      </c>
      <c r="B31" s="12">
        <f>IF(A31&lt;=$B$7,MAX(0,F30),0)</f>
        <v/>
      </c>
      <c r="C31" s="12">
        <f>IF(A31&lt;=$B$7,$B$10,0)</f>
        <v/>
      </c>
      <c r="D31" s="12">
        <f>IF(A31&lt;=$B$7,B31*$B$5/100,0)</f>
        <v/>
      </c>
      <c r="E31" s="12">
        <f>IF(A31&lt;=$B$7,C31-D31,0)</f>
        <v/>
      </c>
      <c r="F31" s="12">
        <f>IF(A31&lt;=$B$7,MAX(0,B31-E31),0)</f>
        <v/>
      </c>
    </row>
    <row r="32" ht="16" customHeight="1" s="33">
      <c r="A32" s="13" t="n">
        <v>16</v>
      </c>
      <c r="B32" s="14">
        <f>IF(A32&lt;=$B$7,MAX(0,F31),0)</f>
        <v/>
      </c>
      <c r="C32" s="14">
        <f>IF(A32&lt;=$B$7,$B$10,0)</f>
        <v/>
      </c>
      <c r="D32" s="14">
        <f>IF(A32&lt;=$B$7,B32*$B$5/100,0)</f>
        <v/>
      </c>
      <c r="E32" s="14">
        <f>IF(A32&lt;=$B$7,C32-D32,0)</f>
        <v/>
      </c>
      <c r="F32" s="14">
        <f>IF(A32&lt;=$B$7,MAX(0,B32-E32),0)</f>
        <v/>
      </c>
    </row>
    <row r="33" ht="16" customHeight="1" s="33">
      <c r="A33" s="11" t="n">
        <v>17</v>
      </c>
      <c r="B33" s="12">
        <f>IF(A33&lt;=$B$7,MAX(0,F32),0)</f>
        <v/>
      </c>
      <c r="C33" s="12">
        <f>IF(A33&lt;=$B$7,$B$10,0)</f>
        <v/>
      </c>
      <c r="D33" s="12">
        <f>IF(A33&lt;=$B$7,B33*$B$5/100,0)</f>
        <v/>
      </c>
      <c r="E33" s="12">
        <f>IF(A33&lt;=$B$7,C33-D33,0)</f>
        <v/>
      </c>
      <c r="F33" s="12">
        <f>IF(A33&lt;=$B$7,MAX(0,B33-E33),0)</f>
        <v/>
      </c>
    </row>
    <row r="34" ht="16" customHeight="1" s="33">
      <c r="A34" s="13" t="n">
        <v>18</v>
      </c>
      <c r="B34" s="14">
        <f>IF(A34&lt;=$B$7,MAX(0,F33),0)</f>
        <v/>
      </c>
      <c r="C34" s="14">
        <f>IF(A34&lt;=$B$7,$B$10,0)</f>
        <v/>
      </c>
      <c r="D34" s="14">
        <f>IF(A34&lt;=$B$7,B34*$B$5/100,0)</f>
        <v/>
      </c>
      <c r="E34" s="14">
        <f>IF(A34&lt;=$B$7,C34-D34,0)</f>
        <v/>
      </c>
      <c r="F34" s="14">
        <f>IF(A34&lt;=$B$7,MAX(0,B34-E34),0)</f>
        <v/>
      </c>
    </row>
    <row r="35" ht="16" customHeight="1" s="33">
      <c r="A35" s="11" t="n">
        <v>19</v>
      </c>
      <c r="B35" s="12">
        <f>IF(A35&lt;=$B$7,MAX(0,F34),0)</f>
        <v/>
      </c>
      <c r="C35" s="12">
        <f>IF(A35&lt;=$B$7,$B$10,0)</f>
        <v/>
      </c>
      <c r="D35" s="12">
        <f>IF(A35&lt;=$B$7,B35*$B$5/100,0)</f>
        <v/>
      </c>
      <c r="E35" s="12">
        <f>IF(A35&lt;=$B$7,C35-D35,0)</f>
        <v/>
      </c>
      <c r="F35" s="12">
        <f>IF(A35&lt;=$B$7,MAX(0,B35-E35),0)</f>
        <v/>
      </c>
    </row>
    <row r="36" ht="16" customHeight="1" s="33">
      <c r="A36" s="13" t="n">
        <v>20</v>
      </c>
      <c r="B36" s="14">
        <f>IF(A36&lt;=$B$7,MAX(0,F35),0)</f>
        <v/>
      </c>
      <c r="C36" s="14">
        <f>IF(A36&lt;=$B$7,$B$10,0)</f>
        <v/>
      </c>
      <c r="D36" s="14">
        <f>IF(A36&lt;=$B$7,B36*$B$5/100,0)</f>
        <v/>
      </c>
      <c r="E36" s="14">
        <f>IF(A36&lt;=$B$7,C36-D36,0)</f>
        <v/>
      </c>
      <c r="F36" s="14">
        <f>IF(A36&lt;=$B$7,MAX(0,B36-E36),0)</f>
        <v/>
      </c>
    </row>
    <row r="37" ht="16" customHeight="1" s="33">
      <c r="A37" s="11" t="n">
        <v>21</v>
      </c>
      <c r="B37" s="12">
        <f>IF(A37&lt;=$B$7,MAX(0,F36),0)</f>
        <v/>
      </c>
      <c r="C37" s="12">
        <f>IF(A37&lt;=$B$7,$B$10,0)</f>
        <v/>
      </c>
      <c r="D37" s="12">
        <f>IF(A37&lt;=$B$7,B37*$B$5/100,0)</f>
        <v/>
      </c>
      <c r="E37" s="12">
        <f>IF(A37&lt;=$B$7,C37-D37,0)</f>
        <v/>
      </c>
      <c r="F37" s="12">
        <f>IF(A37&lt;=$B$7,MAX(0,B37-E37),0)</f>
        <v/>
      </c>
    </row>
    <row r="38" ht="16" customHeight="1" s="33">
      <c r="A38" s="13" t="n">
        <v>22</v>
      </c>
      <c r="B38" s="14">
        <f>IF(A38&lt;=$B$7,MAX(0,F37),0)</f>
        <v/>
      </c>
      <c r="C38" s="14">
        <f>IF(A38&lt;=$B$7,$B$10,0)</f>
        <v/>
      </c>
      <c r="D38" s="14">
        <f>IF(A38&lt;=$B$7,B38*$B$5/100,0)</f>
        <v/>
      </c>
      <c r="E38" s="14">
        <f>IF(A38&lt;=$B$7,C38-D38,0)</f>
        <v/>
      </c>
      <c r="F38" s="14">
        <f>IF(A38&lt;=$B$7,MAX(0,B38-E38),0)</f>
        <v/>
      </c>
    </row>
    <row r="39" ht="16" customHeight="1" s="33">
      <c r="A39" s="11" t="n">
        <v>23</v>
      </c>
      <c r="B39" s="12">
        <f>IF(A39&lt;=$B$7,MAX(0,F38),0)</f>
        <v/>
      </c>
      <c r="C39" s="12">
        <f>IF(A39&lt;=$B$7,$B$10,0)</f>
        <v/>
      </c>
      <c r="D39" s="12">
        <f>IF(A39&lt;=$B$7,B39*$B$5/100,0)</f>
        <v/>
      </c>
      <c r="E39" s="12">
        <f>IF(A39&lt;=$B$7,C39-D39,0)</f>
        <v/>
      </c>
      <c r="F39" s="12">
        <f>IF(A39&lt;=$B$7,MAX(0,B39-E39),0)</f>
        <v/>
      </c>
    </row>
    <row r="40" ht="16" customHeight="1" s="33">
      <c r="A40" s="13" t="n">
        <v>24</v>
      </c>
      <c r="B40" s="14">
        <f>IF(A40&lt;=$B$7,MAX(0,F39),0)</f>
        <v/>
      </c>
      <c r="C40" s="14">
        <f>IF(A40&lt;=$B$7,$B$10,0)</f>
        <v/>
      </c>
      <c r="D40" s="14">
        <f>IF(A40&lt;=$B$7,B40*$B$5/100,0)</f>
        <v/>
      </c>
      <c r="E40" s="14">
        <f>IF(A40&lt;=$B$7,C40-D40,0)</f>
        <v/>
      </c>
      <c r="F40" s="14">
        <f>IF(A40&lt;=$B$7,MAX(0,B40-E40),0)</f>
        <v/>
      </c>
    </row>
    <row r="41" ht="16" customHeight="1" s="33">
      <c r="A41" s="11" t="n">
        <v>25</v>
      </c>
      <c r="B41" s="12">
        <f>IF(A41&lt;=$B$7,MAX(0,F40),0)</f>
        <v/>
      </c>
      <c r="C41" s="12">
        <f>IF(A41&lt;=$B$7,$B$10,0)</f>
        <v/>
      </c>
      <c r="D41" s="12">
        <f>IF(A41&lt;=$B$7,B41*$B$5/100,0)</f>
        <v/>
      </c>
      <c r="E41" s="12">
        <f>IF(A41&lt;=$B$7,C41-D41,0)</f>
        <v/>
      </c>
      <c r="F41" s="12">
        <f>IF(A41&lt;=$B$7,MAX(0,B41-E41),0)</f>
        <v/>
      </c>
    </row>
    <row r="42" ht="16" customHeight="1" s="33">
      <c r="A42" s="13" t="n">
        <v>26</v>
      </c>
      <c r="B42" s="14">
        <f>IF(A42&lt;=$B$7,MAX(0,F41),0)</f>
        <v/>
      </c>
      <c r="C42" s="14">
        <f>IF(A42&lt;=$B$7,$B$10,0)</f>
        <v/>
      </c>
      <c r="D42" s="14">
        <f>IF(A42&lt;=$B$7,B42*$B$5/100,0)</f>
        <v/>
      </c>
      <c r="E42" s="14">
        <f>IF(A42&lt;=$B$7,C42-D42,0)</f>
        <v/>
      </c>
      <c r="F42" s="14">
        <f>IF(A42&lt;=$B$7,MAX(0,B42-E42),0)</f>
        <v/>
      </c>
    </row>
    <row r="43" ht="16" customHeight="1" s="33">
      <c r="A43" s="11" t="n">
        <v>27</v>
      </c>
      <c r="B43" s="12">
        <f>IF(A43&lt;=$B$7,MAX(0,F42),0)</f>
        <v/>
      </c>
      <c r="C43" s="12">
        <f>IF(A43&lt;=$B$7,$B$10,0)</f>
        <v/>
      </c>
      <c r="D43" s="12">
        <f>IF(A43&lt;=$B$7,B43*$B$5/100,0)</f>
        <v/>
      </c>
      <c r="E43" s="12">
        <f>IF(A43&lt;=$B$7,C43-D43,0)</f>
        <v/>
      </c>
      <c r="F43" s="12">
        <f>IF(A43&lt;=$B$7,MAX(0,B43-E43),0)</f>
        <v/>
      </c>
    </row>
    <row r="44" ht="16" customHeight="1" s="33">
      <c r="A44" s="13" t="n">
        <v>28</v>
      </c>
      <c r="B44" s="14">
        <f>IF(A44&lt;=$B$7,MAX(0,F43),0)</f>
        <v/>
      </c>
      <c r="C44" s="14">
        <f>IF(A44&lt;=$B$7,$B$10,0)</f>
        <v/>
      </c>
      <c r="D44" s="14">
        <f>IF(A44&lt;=$B$7,B44*$B$5/100,0)</f>
        <v/>
      </c>
      <c r="E44" s="14">
        <f>IF(A44&lt;=$B$7,C44-D44,0)</f>
        <v/>
      </c>
      <c r="F44" s="14">
        <f>IF(A44&lt;=$B$7,MAX(0,B44-E44),0)</f>
        <v/>
      </c>
    </row>
    <row r="45" ht="16" customHeight="1" s="33">
      <c r="A45" s="11" t="n">
        <v>29</v>
      </c>
      <c r="B45" s="12">
        <f>IF(A45&lt;=$B$7,MAX(0,F44),0)</f>
        <v/>
      </c>
      <c r="C45" s="12">
        <f>IF(A45&lt;=$B$7,$B$10,0)</f>
        <v/>
      </c>
      <c r="D45" s="12">
        <f>IF(A45&lt;=$B$7,B45*$B$5/100,0)</f>
        <v/>
      </c>
      <c r="E45" s="12">
        <f>IF(A45&lt;=$B$7,C45-D45,0)</f>
        <v/>
      </c>
      <c r="F45" s="12">
        <f>IF(A45&lt;=$B$7,MAX(0,B45-E45),0)</f>
        <v/>
      </c>
    </row>
    <row r="46" ht="16" customHeight="1" s="33">
      <c r="A46" s="13" t="n">
        <v>30</v>
      </c>
      <c r="B46" s="14">
        <f>IF(A46&lt;=$B$7,MAX(0,F45),0)</f>
        <v/>
      </c>
      <c r="C46" s="14">
        <f>IF(A46&lt;=$B$7,$B$10,0)</f>
        <v/>
      </c>
      <c r="D46" s="14">
        <f>IF(A46&lt;=$B$7,B46*$B$5/100,0)</f>
        <v/>
      </c>
      <c r="E46" s="14">
        <f>IF(A46&lt;=$B$7,C46-D46,0)</f>
        <v/>
      </c>
      <c r="F46" s="14">
        <f>IF(A46&lt;=$B$7,MAX(0,B46-E46),0)</f>
        <v/>
      </c>
    </row>
    <row r="47" ht="16" customHeight="1" s="33">
      <c r="A47" s="11" t="n">
        <v>31</v>
      </c>
      <c r="B47" s="12">
        <f>IF(A47&lt;=$B$7,MAX(0,F46),0)</f>
        <v/>
      </c>
      <c r="C47" s="12">
        <f>IF(A47&lt;=$B$7,$B$10,0)</f>
        <v/>
      </c>
      <c r="D47" s="12">
        <f>IF(A47&lt;=$B$7,B47*$B$5/100,0)</f>
        <v/>
      </c>
      <c r="E47" s="12">
        <f>IF(A47&lt;=$B$7,C47-D47,0)</f>
        <v/>
      </c>
      <c r="F47" s="12">
        <f>IF(A47&lt;=$B$7,MAX(0,B47-E47),0)</f>
        <v/>
      </c>
    </row>
    <row r="48" ht="16" customHeight="1" s="33">
      <c r="A48" s="13" t="n">
        <v>32</v>
      </c>
      <c r="B48" s="14">
        <f>IF(A48&lt;=$B$7,MAX(0,F47),0)</f>
        <v/>
      </c>
      <c r="C48" s="14">
        <f>IF(A48&lt;=$B$7,$B$10,0)</f>
        <v/>
      </c>
      <c r="D48" s="14">
        <f>IF(A48&lt;=$B$7,B48*$B$5/100,0)</f>
        <v/>
      </c>
      <c r="E48" s="14">
        <f>IF(A48&lt;=$B$7,C48-D48,0)</f>
        <v/>
      </c>
      <c r="F48" s="14">
        <f>IF(A48&lt;=$B$7,MAX(0,B48-E48),0)</f>
        <v/>
      </c>
    </row>
    <row r="49" ht="16" customHeight="1" s="33">
      <c r="A49" s="11" t="n">
        <v>33</v>
      </c>
      <c r="B49" s="12">
        <f>IF(A49&lt;=$B$7,MAX(0,F48),0)</f>
        <v/>
      </c>
      <c r="C49" s="12">
        <f>IF(A49&lt;=$B$7,$B$10,0)</f>
        <v/>
      </c>
      <c r="D49" s="12">
        <f>IF(A49&lt;=$B$7,B49*$B$5/100,0)</f>
        <v/>
      </c>
      <c r="E49" s="12">
        <f>IF(A49&lt;=$B$7,C49-D49,0)</f>
        <v/>
      </c>
      <c r="F49" s="12">
        <f>IF(A49&lt;=$B$7,MAX(0,B49-E49),0)</f>
        <v/>
      </c>
    </row>
    <row r="50" ht="16" customHeight="1" s="33">
      <c r="A50" s="13" t="n">
        <v>34</v>
      </c>
      <c r="B50" s="14">
        <f>IF(A50&lt;=$B$7,MAX(0,F49),0)</f>
        <v/>
      </c>
      <c r="C50" s="14">
        <f>IF(A50&lt;=$B$7,$B$10,0)</f>
        <v/>
      </c>
      <c r="D50" s="14">
        <f>IF(A50&lt;=$B$7,B50*$B$5/100,0)</f>
        <v/>
      </c>
      <c r="E50" s="14">
        <f>IF(A50&lt;=$B$7,C50-D50,0)</f>
        <v/>
      </c>
      <c r="F50" s="14">
        <f>IF(A50&lt;=$B$7,MAX(0,B50-E50),0)</f>
        <v/>
      </c>
    </row>
    <row r="51" ht="16" customHeight="1" s="33">
      <c r="A51" s="11" t="n">
        <v>35</v>
      </c>
      <c r="B51" s="12">
        <f>IF(A51&lt;=$B$7,MAX(0,F50),0)</f>
        <v/>
      </c>
      <c r="C51" s="12">
        <f>IF(A51&lt;=$B$7,$B$10,0)</f>
        <v/>
      </c>
      <c r="D51" s="12">
        <f>IF(A51&lt;=$B$7,B51*$B$5/100,0)</f>
        <v/>
      </c>
      <c r="E51" s="12">
        <f>IF(A51&lt;=$B$7,C51-D51,0)</f>
        <v/>
      </c>
      <c r="F51" s="12">
        <f>IF(A51&lt;=$B$7,MAX(0,B51-E51),0)</f>
        <v/>
      </c>
    </row>
    <row r="52" ht="16" customHeight="1" s="33">
      <c r="A52" s="13" t="n">
        <v>36</v>
      </c>
      <c r="B52" s="14">
        <f>IF(A52&lt;=$B$7,MAX(0,F51),0)</f>
        <v/>
      </c>
      <c r="C52" s="14">
        <f>IF(A52&lt;=$B$7,$B$10,0)</f>
        <v/>
      </c>
      <c r="D52" s="14">
        <f>IF(A52&lt;=$B$7,B52*$B$5/100,0)</f>
        <v/>
      </c>
      <c r="E52" s="14">
        <f>IF(A52&lt;=$B$7,C52-D52,0)</f>
        <v/>
      </c>
      <c r="F52" s="14">
        <f>IF(A52&lt;=$B$7,MAX(0,B52-E52),0)</f>
        <v/>
      </c>
    </row>
    <row r="53" ht="16" customHeight="1" s="33">
      <c r="A53" s="11" t="n">
        <v>37</v>
      </c>
      <c r="B53" s="12">
        <f>IF(A53&lt;=$B$7,MAX(0,F52),0)</f>
        <v/>
      </c>
      <c r="C53" s="12">
        <f>IF(A53&lt;=$B$7,$B$10,0)</f>
        <v/>
      </c>
      <c r="D53" s="12">
        <f>IF(A53&lt;=$B$7,B53*$B$5/100,0)</f>
        <v/>
      </c>
      <c r="E53" s="12">
        <f>IF(A53&lt;=$B$7,C53-D53,0)</f>
        <v/>
      </c>
      <c r="F53" s="12">
        <f>IF(A53&lt;=$B$7,MAX(0,B53-E53),0)</f>
        <v/>
      </c>
    </row>
    <row r="54" ht="16" customHeight="1" s="33">
      <c r="A54" s="13" t="n">
        <v>38</v>
      </c>
      <c r="B54" s="14">
        <f>IF(A54&lt;=$B$7,MAX(0,F53),0)</f>
        <v/>
      </c>
      <c r="C54" s="14">
        <f>IF(A54&lt;=$B$7,$B$10,0)</f>
        <v/>
      </c>
      <c r="D54" s="14">
        <f>IF(A54&lt;=$B$7,B54*$B$5/100,0)</f>
        <v/>
      </c>
      <c r="E54" s="14">
        <f>IF(A54&lt;=$B$7,C54-D54,0)</f>
        <v/>
      </c>
      <c r="F54" s="14">
        <f>IF(A54&lt;=$B$7,MAX(0,B54-E54),0)</f>
        <v/>
      </c>
    </row>
    <row r="55" ht="16" customHeight="1" s="33">
      <c r="A55" s="11" t="n">
        <v>39</v>
      </c>
      <c r="B55" s="12">
        <f>IF(A55&lt;=$B$7,MAX(0,F54),0)</f>
        <v/>
      </c>
      <c r="C55" s="12">
        <f>IF(A55&lt;=$B$7,$B$10,0)</f>
        <v/>
      </c>
      <c r="D55" s="12">
        <f>IF(A55&lt;=$B$7,B55*$B$5/100,0)</f>
        <v/>
      </c>
      <c r="E55" s="12">
        <f>IF(A55&lt;=$B$7,C55-D55,0)</f>
        <v/>
      </c>
      <c r="F55" s="12">
        <f>IF(A55&lt;=$B$7,MAX(0,B55-E55),0)</f>
        <v/>
      </c>
    </row>
    <row r="56" ht="16" customHeight="1" s="33">
      <c r="A56" s="13" t="n">
        <v>40</v>
      </c>
      <c r="B56" s="14">
        <f>IF(A56&lt;=$B$7,MAX(0,F55),0)</f>
        <v/>
      </c>
      <c r="C56" s="14">
        <f>IF(A56&lt;=$B$7,$B$10,0)</f>
        <v/>
      </c>
      <c r="D56" s="14">
        <f>IF(A56&lt;=$B$7,B56*$B$5/100,0)</f>
        <v/>
      </c>
      <c r="E56" s="14">
        <f>IF(A56&lt;=$B$7,C56-D56,0)</f>
        <v/>
      </c>
      <c r="F56" s="14">
        <f>IF(A56&lt;=$B$7,MAX(0,B56-E56),0)</f>
        <v/>
      </c>
    </row>
    <row r="57" ht="16" customHeight="1" s="33">
      <c r="A57" s="11" t="n">
        <v>41</v>
      </c>
      <c r="B57" s="12">
        <f>IF(A57&lt;=$B$7,MAX(0,F56),0)</f>
        <v/>
      </c>
      <c r="C57" s="12">
        <f>IF(A57&lt;=$B$7,$B$10,0)</f>
        <v/>
      </c>
      <c r="D57" s="12">
        <f>IF(A57&lt;=$B$7,B57*$B$5/100,0)</f>
        <v/>
      </c>
      <c r="E57" s="12">
        <f>IF(A57&lt;=$B$7,C57-D57,0)</f>
        <v/>
      </c>
      <c r="F57" s="12">
        <f>IF(A57&lt;=$B$7,MAX(0,B57-E57),0)</f>
        <v/>
      </c>
    </row>
    <row r="58" ht="16" customHeight="1" s="33">
      <c r="A58" s="13" t="n">
        <v>42</v>
      </c>
      <c r="B58" s="14">
        <f>IF(A58&lt;=$B$7,MAX(0,F57),0)</f>
        <v/>
      </c>
      <c r="C58" s="14">
        <f>IF(A58&lt;=$B$7,$B$10,0)</f>
        <v/>
      </c>
      <c r="D58" s="14">
        <f>IF(A58&lt;=$B$7,B58*$B$5/100,0)</f>
        <v/>
      </c>
      <c r="E58" s="14">
        <f>IF(A58&lt;=$B$7,C58-D58,0)</f>
        <v/>
      </c>
      <c r="F58" s="14">
        <f>IF(A58&lt;=$B$7,MAX(0,B58-E58),0)</f>
        <v/>
      </c>
    </row>
    <row r="59" ht="16" customHeight="1" s="33">
      <c r="A59" s="11" t="n">
        <v>43</v>
      </c>
      <c r="B59" s="12">
        <f>IF(A59&lt;=$B$7,MAX(0,F58),0)</f>
        <v/>
      </c>
      <c r="C59" s="12">
        <f>IF(A59&lt;=$B$7,$B$10,0)</f>
        <v/>
      </c>
      <c r="D59" s="12">
        <f>IF(A59&lt;=$B$7,B59*$B$5/100,0)</f>
        <v/>
      </c>
      <c r="E59" s="12">
        <f>IF(A59&lt;=$B$7,C59-D59,0)</f>
        <v/>
      </c>
      <c r="F59" s="12">
        <f>IF(A59&lt;=$B$7,MAX(0,B59-E59),0)</f>
        <v/>
      </c>
    </row>
    <row r="60" ht="16" customHeight="1" s="33">
      <c r="A60" s="13" t="n">
        <v>44</v>
      </c>
      <c r="B60" s="14">
        <f>IF(A60&lt;=$B$7,MAX(0,F59),0)</f>
        <v/>
      </c>
      <c r="C60" s="14">
        <f>IF(A60&lt;=$B$7,$B$10,0)</f>
        <v/>
      </c>
      <c r="D60" s="14">
        <f>IF(A60&lt;=$B$7,B60*$B$5/100,0)</f>
        <v/>
      </c>
      <c r="E60" s="14">
        <f>IF(A60&lt;=$B$7,C60-D60,0)</f>
        <v/>
      </c>
      <c r="F60" s="14">
        <f>IF(A60&lt;=$B$7,MAX(0,B60-E60),0)</f>
        <v/>
      </c>
    </row>
    <row r="61" ht="16" customHeight="1" s="33">
      <c r="A61" s="11" t="n">
        <v>45</v>
      </c>
      <c r="B61" s="12">
        <f>IF(A61&lt;=$B$7,MAX(0,F60),0)</f>
        <v/>
      </c>
      <c r="C61" s="12">
        <f>IF(A61&lt;=$B$7,$B$10,0)</f>
        <v/>
      </c>
      <c r="D61" s="12">
        <f>IF(A61&lt;=$B$7,B61*$B$5/100,0)</f>
        <v/>
      </c>
      <c r="E61" s="12">
        <f>IF(A61&lt;=$B$7,C61-D61,0)</f>
        <v/>
      </c>
      <c r="F61" s="12">
        <f>IF(A61&lt;=$B$7,MAX(0,B61-E61),0)</f>
        <v/>
      </c>
    </row>
    <row r="62" ht="16" customHeight="1" s="33">
      <c r="A62" s="13" t="n">
        <v>46</v>
      </c>
      <c r="B62" s="14">
        <f>IF(A62&lt;=$B$7,MAX(0,F61),0)</f>
        <v/>
      </c>
      <c r="C62" s="14">
        <f>IF(A62&lt;=$B$7,$B$10,0)</f>
        <v/>
      </c>
      <c r="D62" s="14">
        <f>IF(A62&lt;=$B$7,B62*$B$5/100,0)</f>
        <v/>
      </c>
      <c r="E62" s="14">
        <f>IF(A62&lt;=$B$7,C62-D62,0)</f>
        <v/>
      </c>
      <c r="F62" s="14">
        <f>IF(A62&lt;=$B$7,MAX(0,B62-E62),0)</f>
        <v/>
      </c>
    </row>
    <row r="63" ht="16" customHeight="1" s="33">
      <c r="A63" s="11" t="n">
        <v>47</v>
      </c>
      <c r="B63" s="12">
        <f>IF(A63&lt;=$B$7,MAX(0,F62),0)</f>
        <v/>
      </c>
      <c r="C63" s="12">
        <f>IF(A63&lt;=$B$7,$B$10,0)</f>
        <v/>
      </c>
      <c r="D63" s="12">
        <f>IF(A63&lt;=$B$7,B63*$B$5/100,0)</f>
        <v/>
      </c>
      <c r="E63" s="12">
        <f>IF(A63&lt;=$B$7,C63-D63,0)</f>
        <v/>
      </c>
      <c r="F63" s="12">
        <f>IF(A63&lt;=$B$7,MAX(0,B63-E63),0)</f>
        <v/>
      </c>
    </row>
    <row r="64" ht="16" customHeight="1" s="33">
      <c r="A64" s="13" t="n">
        <v>48</v>
      </c>
      <c r="B64" s="14">
        <f>IF(A64&lt;=$B$7,MAX(0,F63),0)</f>
        <v/>
      </c>
      <c r="C64" s="14">
        <f>IF(A64&lt;=$B$7,$B$10,0)</f>
        <v/>
      </c>
      <c r="D64" s="14">
        <f>IF(A64&lt;=$B$7,B64*$B$5/100,0)</f>
        <v/>
      </c>
      <c r="E64" s="14">
        <f>IF(A64&lt;=$B$7,C64-D64,0)</f>
        <v/>
      </c>
      <c r="F64" s="14">
        <f>IF(A64&lt;=$B$7,MAX(0,B64-E64),0)</f>
        <v/>
      </c>
    </row>
    <row r="65" ht="16" customHeight="1" s="33">
      <c r="A65" s="11" t="n">
        <v>49</v>
      </c>
      <c r="B65" s="12">
        <f>IF(A65&lt;=$B$7,MAX(0,F64),0)</f>
        <v/>
      </c>
      <c r="C65" s="12">
        <f>IF(A65&lt;=$B$7,$B$10,0)</f>
        <v/>
      </c>
      <c r="D65" s="12">
        <f>IF(A65&lt;=$B$7,B65*$B$5/100,0)</f>
        <v/>
      </c>
      <c r="E65" s="12">
        <f>IF(A65&lt;=$B$7,C65-D65,0)</f>
        <v/>
      </c>
      <c r="F65" s="12">
        <f>IF(A65&lt;=$B$7,MAX(0,B65-E65),0)</f>
        <v/>
      </c>
    </row>
    <row r="66" ht="16" customHeight="1" s="33">
      <c r="A66" s="13" t="n">
        <v>50</v>
      </c>
      <c r="B66" s="14">
        <f>IF(A66&lt;=$B$7,MAX(0,F65),0)</f>
        <v/>
      </c>
      <c r="C66" s="14">
        <f>IF(A66&lt;=$B$7,$B$10,0)</f>
        <v/>
      </c>
      <c r="D66" s="14">
        <f>IF(A66&lt;=$B$7,B66*$B$5/100,0)</f>
        <v/>
      </c>
      <c r="E66" s="14">
        <f>IF(A66&lt;=$B$7,C66-D66,0)</f>
        <v/>
      </c>
      <c r="F66" s="14">
        <f>IF(A66&lt;=$B$7,MAX(0,B66-E66),0)</f>
        <v/>
      </c>
    </row>
    <row r="67" ht="16" customHeight="1" s="33">
      <c r="A67" s="11" t="n">
        <v>51</v>
      </c>
      <c r="B67" s="12">
        <f>IF(A67&lt;=$B$7,MAX(0,F66),0)</f>
        <v/>
      </c>
      <c r="C67" s="12">
        <f>IF(A67&lt;=$B$7,$B$10,0)</f>
        <v/>
      </c>
      <c r="D67" s="12">
        <f>IF(A67&lt;=$B$7,B67*$B$5/100,0)</f>
        <v/>
      </c>
      <c r="E67" s="12">
        <f>IF(A67&lt;=$B$7,C67-D67,0)</f>
        <v/>
      </c>
      <c r="F67" s="12">
        <f>IF(A67&lt;=$B$7,MAX(0,B67-E67),0)</f>
        <v/>
      </c>
    </row>
    <row r="68" ht="16" customHeight="1" s="33">
      <c r="A68" s="13" t="n">
        <v>52</v>
      </c>
      <c r="B68" s="14">
        <f>IF(A68&lt;=$B$7,MAX(0,F67),0)</f>
        <v/>
      </c>
      <c r="C68" s="14">
        <f>IF(A68&lt;=$B$7,$B$10,0)</f>
        <v/>
      </c>
      <c r="D68" s="14">
        <f>IF(A68&lt;=$B$7,B68*$B$5/100,0)</f>
        <v/>
      </c>
      <c r="E68" s="14">
        <f>IF(A68&lt;=$B$7,C68-D68,0)</f>
        <v/>
      </c>
      <c r="F68" s="14">
        <f>IF(A68&lt;=$B$7,MAX(0,B68-E68),0)</f>
        <v/>
      </c>
    </row>
    <row r="69" ht="16" customHeight="1" s="33">
      <c r="A69" s="11" t="n">
        <v>53</v>
      </c>
      <c r="B69" s="12">
        <f>IF(A69&lt;=$B$7,MAX(0,F68),0)</f>
        <v/>
      </c>
      <c r="C69" s="12">
        <f>IF(A69&lt;=$B$7,$B$10,0)</f>
        <v/>
      </c>
      <c r="D69" s="12">
        <f>IF(A69&lt;=$B$7,B69*$B$5/100,0)</f>
        <v/>
      </c>
      <c r="E69" s="12">
        <f>IF(A69&lt;=$B$7,C69-D69,0)</f>
        <v/>
      </c>
      <c r="F69" s="12">
        <f>IF(A69&lt;=$B$7,MAX(0,B69-E69),0)</f>
        <v/>
      </c>
    </row>
    <row r="70" ht="16" customHeight="1" s="33">
      <c r="A70" s="13" t="n">
        <v>54</v>
      </c>
      <c r="B70" s="14">
        <f>IF(A70&lt;=$B$7,MAX(0,F69),0)</f>
        <v/>
      </c>
      <c r="C70" s="14">
        <f>IF(A70&lt;=$B$7,$B$10,0)</f>
        <v/>
      </c>
      <c r="D70" s="14">
        <f>IF(A70&lt;=$B$7,B70*$B$5/100,0)</f>
        <v/>
      </c>
      <c r="E70" s="14">
        <f>IF(A70&lt;=$B$7,C70-D70,0)</f>
        <v/>
      </c>
      <c r="F70" s="14">
        <f>IF(A70&lt;=$B$7,MAX(0,B70-E70),0)</f>
        <v/>
      </c>
    </row>
    <row r="71" ht="16" customHeight="1" s="33">
      <c r="A71" s="11" t="n">
        <v>55</v>
      </c>
      <c r="B71" s="12">
        <f>IF(A71&lt;=$B$7,MAX(0,F70),0)</f>
        <v/>
      </c>
      <c r="C71" s="12">
        <f>IF(A71&lt;=$B$7,$B$10,0)</f>
        <v/>
      </c>
      <c r="D71" s="12">
        <f>IF(A71&lt;=$B$7,B71*$B$5/100,0)</f>
        <v/>
      </c>
      <c r="E71" s="12">
        <f>IF(A71&lt;=$B$7,C71-D71,0)</f>
        <v/>
      </c>
      <c r="F71" s="12">
        <f>IF(A71&lt;=$B$7,MAX(0,B71-E71),0)</f>
        <v/>
      </c>
    </row>
    <row r="72" ht="16" customHeight="1" s="33">
      <c r="A72" s="13" t="n">
        <v>56</v>
      </c>
      <c r="B72" s="14">
        <f>IF(A72&lt;=$B$7,MAX(0,F71),0)</f>
        <v/>
      </c>
      <c r="C72" s="14">
        <f>IF(A72&lt;=$B$7,$B$10,0)</f>
        <v/>
      </c>
      <c r="D72" s="14">
        <f>IF(A72&lt;=$B$7,B72*$B$5/100,0)</f>
        <v/>
      </c>
      <c r="E72" s="14">
        <f>IF(A72&lt;=$B$7,C72-D72,0)</f>
        <v/>
      </c>
      <c r="F72" s="14">
        <f>IF(A72&lt;=$B$7,MAX(0,B72-E72),0)</f>
        <v/>
      </c>
    </row>
    <row r="73" ht="16" customHeight="1" s="33">
      <c r="A73" s="11" t="n">
        <v>57</v>
      </c>
      <c r="B73" s="12">
        <f>IF(A73&lt;=$B$7,MAX(0,F72),0)</f>
        <v/>
      </c>
      <c r="C73" s="12">
        <f>IF(A73&lt;=$B$7,$B$10,0)</f>
        <v/>
      </c>
      <c r="D73" s="12">
        <f>IF(A73&lt;=$B$7,B73*$B$5/100,0)</f>
        <v/>
      </c>
      <c r="E73" s="12">
        <f>IF(A73&lt;=$B$7,C73-D73,0)</f>
        <v/>
      </c>
      <c r="F73" s="12">
        <f>IF(A73&lt;=$B$7,MAX(0,B73-E73),0)</f>
        <v/>
      </c>
    </row>
    <row r="74" ht="16" customHeight="1" s="33">
      <c r="A74" s="13" t="n">
        <v>58</v>
      </c>
      <c r="B74" s="14">
        <f>IF(A74&lt;=$B$7,MAX(0,F73),0)</f>
        <v/>
      </c>
      <c r="C74" s="14">
        <f>IF(A74&lt;=$B$7,$B$10,0)</f>
        <v/>
      </c>
      <c r="D74" s="14">
        <f>IF(A74&lt;=$B$7,B74*$B$5/100,0)</f>
        <v/>
      </c>
      <c r="E74" s="14">
        <f>IF(A74&lt;=$B$7,C74-D74,0)</f>
        <v/>
      </c>
      <c r="F74" s="14">
        <f>IF(A74&lt;=$B$7,MAX(0,B74-E74),0)</f>
        <v/>
      </c>
    </row>
    <row r="75" ht="16" customHeight="1" s="33">
      <c r="A75" s="11" t="n">
        <v>59</v>
      </c>
      <c r="B75" s="12">
        <f>IF(A75&lt;=$B$7,MAX(0,F74),0)</f>
        <v/>
      </c>
      <c r="C75" s="12">
        <f>IF(A75&lt;=$B$7,$B$10,0)</f>
        <v/>
      </c>
      <c r="D75" s="12">
        <f>IF(A75&lt;=$B$7,B75*$B$5/100,0)</f>
        <v/>
      </c>
      <c r="E75" s="12">
        <f>IF(A75&lt;=$B$7,C75-D75,0)</f>
        <v/>
      </c>
      <c r="F75" s="12">
        <f>IF(A75&lt;=$B$7,MAX(0,B75-E75),0)</f>
        <v/>
      </c>
    </row>
    <row r="76" ht="16" customHeight="1" s="33">
      <c r="A76" s="13" t="n">
        <v>60</v>
      </c>
      <c r="B76" s="14">
        <f>IF(A76&lt;=$B$7,MAX(0,F75),0)</f>
        <v/>
      </c>
      <c r="C76" s="14">
        <f>IF(A76&lt;=$B$7,$B$10,0)</f>
        <v/>
      </c>
      <c r="D76" s="14">
        <f>IF(A76&lt;=$B$7,B76*$B$5/100,0)</f>
        <v/>
      </c>
      <c r="E76" s="14">
        <f>IF(A76&lt;=$B$7,C76-D76,0)</f>
        <v/>
      </c>
      <c r="F76" s="14">
        <f>IF(A76&lt;=$B$7,MAX(0,B76-E76),0)</f>
        <v/>
      </c>
    </row>
    <row r="77" ht="16" customHeight="1" s="33">
      <c r="A77" s="11" t="n">
        <v>61</v>
      </c>
      <c r="B77" s="12">
        <f>IF(A77&lt;=$B$7,MAX(0,F76),0)</f>
        <v/>
      </c>
      <c r="C77" s="12">
        <f>IF(A77&lt;=$B$7,$B$10,0)</f>
        <v/>
      </c>
      <c r="D77" s="12">
        <f>IF(A77&lt;=$B$7,B77*$B$5/100,0)</f>
        <v/>
      </c>
      <c r="E77" s="12">
        <f>IF(A77&lt;=$B$7,C77-D77,0)</f>
        <v/>
      </c>
      <c r="F77" s="12">
        <f>IF(A77&lt;=$B$7,MAX(0,B77-E77),0)</f>
        <v/>
      </c>
    </row>
    <row r="78" ht="16" customHeight="1" s="33">
      <c r="A78" s="13" t="n">
        <v>62</v>
      </c>
      <c r="B78" s="14">
        <f>IF(A78&lt;=$B$7,MAX(0,F77),0)</f>
        <v/>
      </c>
      <c r="C78" s="14">
        <f>IF(A78&lt;=$B$7,$B$10,0)</f>
        <v/>
      </c>
      <c r="D78" s="14">
        <f>IF(A78&lt;=$B$7,B78*$B$5/100,0)</f>
        <v/>
      </c>
      <c r="E78" s="14">
        <f>IF(A78&lt;=$B$7,C78-D78,0)</f>
        <v/>
      </c>
      <c r="F78" s="14">
        <f>IF(A78&lt;=$B$7,MAX(0,B78-E78),0)</f>
        <v/>
      </c>
    </row>
    <row r="79" ht="16" customHeight="1" s="33">
      <c r="A79" s="11" t="n">
        <v>63</v>
      </c>
      <c r="B79" s="12">
        <f>IF(A79&lt;=$B$7,MAX(0,F78),0)</f>
        <v/>
      </c>
      <c r="C79" s="12">
        <f>IF(A79&lt;=$B$7,$B$10,0)</f>
        <v/>
      </c>
      <c r="D79" s="12">
        <f>IF(A79&lt;=$B$7,B79*$B$5/100,0)</f>
        <v/>
      </c>
      <c r="E79" s="12">
        <f>IF(A79&lt;=$B$7,C79-D79,0)</f>
        <v/>
      </c>
      <c r="F79" s="12">
        <f>IF(A79&lt;=$B$7,MAX(0,B79-E79),0)</f>
        <v/>
      </c>
    </row>
    <row r="80" ht="16" customHeight="1" s="33">
      <c r="A80" s="13" t="n">
        <v>64</v>
      </c>
      <c r="B80" s="14">
        <f>IF(A80&lt;=$B$7,MAX(0,F79),0)</f>
        <v/>
      </c>
      <c r="C80" s="14">
        <f>IF(A80&lt;=$B$7,$B$10,0)</f>
        <v/>
      </c>
      <c r="D80" s="14">
        <f>IF(A80&lt;=$B$7,B80*$B$5/100,0)</f>
        <v/>
      </c>
      <c r="E80" s="14">
        <f>IF(A80&lt;=$B$7,C80-D80,0)</f>
        <v/>
      </c>
      <c r="F80" s="14">
        <f>IF(A80&lt;=$B$7,MAX(0,B80-E80),0)</f>
        <v/>
      </c>
    </row>
    <row r="81" ht="16" customHeight="1" s="33">
      <c r="A81" s="11" t="n">
        <v>65</v>
      </c>
      <c r="B81" s="12">
        <f>IF(A81&lt;=$B$7,MAX(0,F80),0)</f>
        <v/>
      </c>
      <c r="C81" s="12">
        <f>IF(A81&lt;=$B$7,$B$10,0)</f>
        <v/>
      </c>
      <c r="D81" s="12">
        <f>IF(A81&lt;=$B$7,B81*$B$5/100,0)</f>
        <v/>
      </c>
      <c r="E81" s="12">
        <f>IF(A81&lt;=$B$7,C81-D81,0)</f>
        <v/>
      </c>
      <c r="F81" s="12">
        <f>IF(A81&lt;=$B$7,MAX(0,B81-E81),0)</f>
        <v/>
      </c>
    </row>
    <row r="82" ht="16" customHeight="1" s="33">
      <c r="A82" s="13" t="n">
        <v>66</v>
      </c>
      <c r="B82" s="14">
        <f>IF(A82&lt;=$B$7,MAX(0,F81),0)</f>
        <v/>
      </c>
      <c r="C82" s="14">
        <f>IF(A82&lt;=$B$7,$B$10,0)</f>
        <v/>
      </c>
      <c r="D82" s="14">
        <f>IF(A82&lt;=$B$7,B82*$B$5/100,0)</f>
        <v/>
      </c>
      <c r="E82" s="14">
        <f>IF(A82&lt;=$B$7,C82-D82,0)</f>
        <v/>
      </c>
      <c r="F82" s="14">
        <f>IF(A82&lt;=$B$7,MAX(0,B82-E82),0)</f>
        <v/>
      </c>
    </row>
    <row r="83" ht="16" customHeight="1" s="33">
      <c r="A83" s="11" t="n">
        <v>67</v>
      </c>
      <c r="B83" s="12">
        <f>IF(A83&lt;=$B$7,MAX(0,F82),0)</f>
        <v/>
      </c>
      <c r="C83" s="12">
        <f>IF(A83&lt;=$B$7,$B$10,0)</f>
        <v/>
      </c>
      <c r="D83" s="12">
        <f>IF(A83&lt;=$B$7,B83*$B$5/100,0)</f>
        <v/>
      </c>
      <c r="E83" s="12">
        <f>IF(A83&lt;=$B$7,C83-D83,0)</f>
        <v/>
      </c>
      <c r="F83" s="12">
        <f>IF(A83&lt;=$B$7,MAX(0,B83-E83),0)</f>
        <v/>
      </c>
    </row>
    <row r="84" ht="16" customHeight="1" s="33">
      <c r="A84" s="13" t="n">
        <v>68</v>
      </c>
      <c r="B84" s="14">
        <f>IF(A84&lt;=$B$7,MAX(0,F83),0)</f>
        <v/>
      </c>
      <c r="C84" s="14">
        <f>IF(A84&lt;=$B$7,$B$10,0)</f>
        <v/>
      </c>
      <c r="D84" s="14">
        <f>IF(A84&lt;=$B$7,B84*$B$5/100,0)</f>
        <v/>
      </c>
      <c r="E84" s="14">
        <f>IF(A84&lt;=$B$7,C84-D84,0)</f>
        <v/>
      </c>
      <c r="F84" s="14">
        <f>IF(A84&lt;=$B$7,MAX(0,B84-E84),0)</f>
        <v/>
      </c>
    </row>
    <row r="85" ht="16" customHeight="1" s="33">
      <c r="A85" s="11" t="n">
        <v>69</v>
      </c>
      <c r="B85" s="12">
        <f>IF(A85&lt;=$B$7,MAX(0,F84),0)</f>
        <v/>
      </c>
      <c r="C85" s="12">
        <f>IF(A85&lt;=$B$7,$B$10,0)</f>
        <v/>
      </c>
      <c r="D85" s="12">
        <f>IF(A85&lt;=$B$7,B85*$B$5/100,0)</f>
        <v/>
      </c>
      <c r="E85" s="12">
        <f>IF(A85&lt;=$B$7,C85-D85,0)</f>
        <v/>
      </c>
      <c r="F85" s="12">
        <f>IF(A85&lt;=$B$7,MAX(0,B85-E85),0)</f>
        <v/>
      </c>
    </row>
    <row r="86" ht="16" customHeight="1" s="33">
      <c r="A86" s="13" t="n">
        <v>70</v>
      </c>
      <c r="B86" s="14">
        <f>IF(A86&lt;=$B$7,MAX(0,F85),0)</f>
        <v/>
      </c>
      <c r="C86" s="14">
        <f>IF(A86&lt;=$B$7,$B$10,0)</f>
        <v/>
      </c>
      <c r="D86" s="14">
        <f>IF(A86&lt;=$B$7,B86*$B$5/100,0)</f>
        <v/>
      </c>
      <c r="E86" s="14">
        <f>IF(A86&lt;=$B$7,C86-D86,0)</f>
        <v/>
      </c>
      <c r="F86" s="14">
        <f>IF(A86&lt;=$B$7,MAX(0,B86-E86),0)</f>
        <v/>
      </c>
    </row>
    <row r="87" ht="16" customHeight="1" s="33">
      <c r="A87" s="11" t="n">
        <v>71</v>
      </c>
      <c r="B87" s="12">
        <f>IF(A87&lt;=$B$7,MAX(0,F86),0)</f>
        <v/>
      </c>
      <c r="C87" s="12">
        <f>IF(A87&lt;=$B$7,$B$10,0)</f>
        <v/>
      </c>
      <c r="D87" s="12">
        <f>IF(A87&lt;=$B$7,B87*$B$5/100,0)</f>
        <v/>
      </c>
      <c r="E87" s="12">
        <f>IF(A87&lt;=$B$7,C87-D87,0)</f>
        <v/>
      </c>
      <c r="F87" s="12">
        <f>IF(A87&lt;=$B$7,MAX(0,B87-E87),0)</f>
        <v/>
      </c>
    </row>
    <row r="88" ht="16" customHeight="1" s="33">
      <c r="A88" s="13" t="n">
        <v>72</v>
      </c>
      <c r="B88" s="14">
        <f>IF(A88&lt;=$B$7,MAX(0,F87),0)</f>
        <v/>
      </c>
      <c r="C88" s="14">
        <f>IF(A88&lt;=$B$7,$B$10,0)</f>
        <v/>
      </c>
      <c r="D88" s="14">
        <f>IF(A88&lt;=$B$7,B88*$B$5/100,0)</f>
        <v/>
      </c>
      <c r="E88" s="14">
        <f>IF(A88&lt;=$B$7,C88-D88,0)</f>
        <v/>
      </c>
      <c r="F88" s="14">
        <f>IF(A88&lt;=$B$7,MAX(0,B88-E88),0)</f>
        <v/>
      </c>
    </row>
    <row r="89" ht="16" customHeight="1" s="33">
      <c r="A89" s="11" t="n">
        <v>73</v>
      </c>
      <c r="B89" s="12">
        <f>IF(A89&lt;=$B$7,MAX(0,F88),0)</f>
        <v/>
      </c>
      <c r="C89" s="12">
        <f>IF(A89&lt;=$B$7,$B$10,0)</f>
        <v/>
      </c>
      <c r="D89" s="12">
        <f>IF(A89&lt;=$B$7,B89*$B$5/100,0)</f>
        <v/>
      </c>
      <c r="E89" s="12">
        <f>IF(A89&lt;=$B$7,C89-D89,0)</f>
        <v/>
      </c>
      <c r="F89" s="12">
        <f>IF(A89&lt;=$B$7,MAX(0,B89-E89),0)</f>
        <v/>
      </c>
    </row>
    <row r="90" ht="16" customHeight="1" s="33">
      <c r="A90" s="13" t="n">
        <v>74</v>
      </c>
      <c r="B90" s="14">
        <f>IF(A90&lt;=$B$7,MAX(0,F89),0)</f>
        <v/>
      </c>
      <c r="C90" s="14">
        <f>IF(A90&lt;=$B$7,$B$10,0)</f>
        <v/>
      </c>
      <c r="D90" s="14">
        <f>IF(A90&lt;=$B$7,B90*$B$5/100,0)</f>
        <v/>
      </c>
      <c r="E90" s="14">
        <f>IF(A90&lt;=$B$7,C90-D90,0)</f>
        <v/>
      </c>
      <c r="F90" s="14">
        <f>IF(A90&lt;=$B$7,MAX(0,B90-E90),0)</f>
        <v/>
      </c>
    </row>
    <row r="91" ht="16" customHeight="1" s="33">
      <c r="A91" s="11" t="n">
        <v>75</v>
      </c>
      <c r="B91" s="12">
        <f>IF(A91&lt;=$B$7,MAX(0,F90),0)</f>
        <v/>
      </c>
      <c r="C91" s="12">
        <f>IF(A91&lt;=$B$7,$B$10,0)</f>
        <v/>
      </c>
      <c r="D91" s="12">
        <f>IF(A91&lt;=$B$7,B91*$B$5/100,0)</f>
        <v/>
      </c>
      <c r="E91" s="12">
        <f>IF(A91&lt;=$B$7,C91-D91,0)</f>
        <v/>
      </c>
      <c r="F91" s="12">
        <f>IF(A91&lt;=$B$7,MAX(0,B91-E91),0)</f>
        <v/>
      </c>
    </row>
    <row r="92" ht="16" customHeight="1" s="33">
      <c r="A92" s="13" t="n">
        <v>76</v>
      </c>
      <c r="B92" s="14">
        <f>IF(A92&lt;=$B$7,MAX(0,F91),0)</f>
        <v/>
      </c>
      <c r="C92" s="14">
        <f>IF(A92&lt;=$B$7,$B$10,0)</f>
        <v/>
      </c>
      <c r="D92" s="14">
        <f>IF(A92&lt;=$B$7,B92*$B$5/100,0)</f>
        <v/>
      </c>
      <c r="E92" s="14">
        <f>IF(A92&lt;=$B$7,C92-D92,0)</f>
        <v/>
      </c>
      <c r="F92" s="14">
        <f>IF(A92&lt;=$B$7,MAX(0,B92-E92),0)</f>
        <v/>
      </c>
    </row>
    <row r="93" ht="16" customHeight="1" s="33">
      <c r="A93" s="11" t="n">
        <v>77</v>
      </c>
      <c r="B93" s="12">
        <f>IF(A93&lt;=$B$7,MAX(0,F92),0)</f>
        <v/>
      </c>
      <c r="C93" s="12">
        <f>IF(A93&lt;=$B$7,$B$10,0)</f>
        <v/>
      </c>
      <c r="D93" s="12">
        <f>IF(A93&lt;=$B$7,B93*$B$5/100,0)</f>
        <v/>
      </c>
      <c r="E93" s="12">
        <f>IF(A93&lt;=$B$7,C93-D93,0)</f>
        <v/>
      </c>
      <c r="F93" s="12">
        <f>IF(A93&lt;=$B$7,MAX(0,B93-E93),0)</f>
        <v/>
      </c>
    </row>
    <row r="94" ht="16" customHeight="1" s="33">
      <c r="A94" s="13" t="n">
        <v>78</v>
      </c>
      <c r="B94" s="14">
        <f>IF(A94&lt;=$B$7,MAX(0,F93),0)</f>
        <v/>
      </c>
      <c r="C94" s="14">
        <f>IF(A94&lt;=$B$7,$B$10,0)</f>
        <v/>
      </c>
      <c r="D94" s="14">
        <f>IF(A94&lt;=$B$7,B94*$B$5/100,0)</f>
        <v/>
      </c>
      <c r="E94" s="14">
        <f>IF(A94&lt;=$B$7,C94-D94,0)</f>
        <v/>
      </c>
      <c r="F94" s="14">
        <f>IF(A94&lt;=$B$7,MAX(0,B94-E94),0)</f>
        <v/>
      </c>
    </row>
    <row r="95" ht="16" customHeight="1" s="33">
      <c r="A95" s="11" t="n">
        <v>79</v>
      </c>
      <c r="B95" s="12">
        <f>IF(A95&lt;=$B$7,MAX(0,F94),0)</f>
        <v/>
      </c>
      <c r="C95" s="12">
        <f>IF(A95&lt;=$B$7,$B$10,0)</f>
        <v/>
      </c>
      <c r="D95" s="12">
        <f>IF(A95&lt;=$B$7,B95*$B$5/100,0)</f>
        <v/>
      </c>
      <c r="E95" s="12">
        <f>IF(A95&lt;=$B$7,C95-D95,0)</f>
        <v/>
      </c>
      <c r="F95" s="12">
        <f>IF(A95&lt;=$B$7,MAX(0,B95-E95),0)</f>
        <v/>
      </c>
    </row>
    <row r="96" ht="16" customHeight="1" s="33">
      <c r="A96" s="13" t="n">
        <v>80</v>
      </c>
      <c r="B96" s="14">
        <f>IF(A96&lt;=$B$7,MAX(0,F95),0)</f>
        <v/>
      </c>
      <c r="C96" s="14">
        <f>IF(A96&lt;=$B$7,$B$10,0)</f>
        <v/>
      </c>
      <c r="D96" s="14">
        <f>IF(A96&lt;=$B$7,B96*$B$5/100,0)</f>
        <v/>
      </c>
      <c r="E96" s="14">
        <f>IF(A96&lt;=$B$7,C96-D96,0)</f>
        <v/>
      </c>
      <c r="F96" s="14">
        <f>IF(A96&lt;=$B$7,MAX(0,B96-E96),0)</f>
        <v/>
      </c>
    </row>
    <row r="97" ht="16" customHeight="1" s="33">
      <c r="A97" s="11" t="n">
        <v>81</v>
      </c>
      <c r="B97" s="12">
        <f>IF(A97&lt;=$B$7,MAX(0,F96),0)</f>
        <v/>
      </c>
      <c r="C97" s="12">
        <f>IF(A97&lt;=$B$7,$B$10,0)</f>
        <v/>
      </c>
      <c r="D97" s="12">
        <f>IF(A97&lt;=$B$7,B97*$B$5/100,0)</f>
        <v/>
      </c>
      <c r="E97" s="12">
        <f>IF(A97&lt;=$B$7,C97-D97,0)</f>
        <v/>
      </c>
      <c r="F97" s="12">
        <f>IF(A97&lt;=$B$7,MAX(0,B97-E97),0)</f>
        <v/>
      </c>
    </row>
    <row r="98" ht="16" customHeight="1" s="33">
      <c r="A98" s="13" t="n">
        <v>82</v>
      </c>
      <c r="B98" s="14">
        <f>IF(A98&lt;=$B$7,MAX(0,F97),0)</f>
        <v/>
      </c>
      <c r="C98" s="14">
        <f>IF(A98&lt;=$B$7,$B$10,0)</f>
        <v/>
      </c>
      <c r="D98" s="14">
        <f>IF(A98&lt;=$B$7,B98*$B$5/100,0)</f>
        <v/>
      </c>
      <c r="E98" s="14">
        <f>IF(A98&lt;=$B$7,C98-D98,0)</f>
        <v/>
      </c>
      <c r="F98" s="14">
        <f>IF(A98&lt;=$B$7,MAX(0,B98-E98),0)</f>
        <v/>
      </c>
    </row>
    <row r="99" ht="16" customHeight="1" s="33">
      <c r="A99" s="11" t="n">
        <v>83</v>
      </c>
      <c r="B99" s="12">
        <f>IF(A99&lt;=$B$7,MAX(0,F98),0)</f>
        <v/>
      </c>
      <c r="C99" s="12">
        <f>IF(A99&lt;=$B$7,$B$10,0)</f>
        <v/>
      </c>
      <c r="D99" s="12">
        <f>IF(A99&lt;=$B$7,B99*$B$5/100,0)</f>
        <v/>
      </c>
      <c r="E99" s="12">
        <f>IF(A99&lt;=$B$7,C99-D99,0)</f>
        <v/>
      </c>
      <c r="F99" s="12">
        <f>IF(A99&lt;=$B$7,MAX(0,B99-E99),0)</f>
        <v/>
      </c>
    </row>
    <row r="100" ht="16" customHeight="1" s="33">
      <c r="A100" s="13" t="n">
        <v>84</v>
      </c>
      <c r="B100" s="14">
        <f>IF(A100&lt;=$B$7,MAX(0,F99),0)</f>
        <v/>
      </c>
      <c r="C100" s="14">
        <f>IF(A100&lt;=$B$7,$B$10,0)</f>
        <v/>
      </c>
      <c r="D100" s="14">
        <f>IF(A100&lt;=$B$7,B100*$B$5/100,0)</f>
        <v/>
      </c>
      <c r="E100" s="14">
        <f>IF(A100&lt;=$B$7,C100-D100,0)</f>
        <v/>
      </c>
      <c r="F100" s="14">
        <f>IF(A100&lt;=$B$7,MAX(0,B100-E100),0)</f>
        <v/>
      </c>
    </row>
    <row r="102">
      <c r="A102" s="32" t="inlineStr">
        <is>
          <t xml:space="preserve">  Celdas amarillas -&gt; entrada manual  |  Celdas verdes -&gt; calculadas automáticamente</t>
        </is>
      </c>
    </row>
    <row r="104" ht="16" customHeight="1" s="33"/>
    <row r="105" ht="34" customHeight="1" s="33">
      <c r="A105" s="37" t="inlineStr">
        <is>
          <t xml:space="preserve">  CALCULADORA INVERSA  —  ¿Qué interés le estoy cobrando al cliente?</t>
        </is>
      </c>
    </row>
    <row r="106" ht="8.1" customHeight="1" s="33"/>
    <row r="107" ht="21.9" customHeight="1" s="33">
      <c r="A107" s="34" t="inlineStr">
        <is>
          <t xml:space="preserve">  Modo A · Conozco el TOTAL que quiero cobrar</t>
        </is>
      </c>
    </row>
    <row r="108" ht="24.05" customHeight="1" s="33">
      <c r="A108" s="3" t="inlineStr">
        <is>
          <t>Valor de la moto  (lo que presté)</t>
        </is>
      </c>
      <c r="B108" s="15" t="n">
        <v>0</v>
      </c>
      <c r="C108" s="5" t="inlineStr">
        <is>
          <t>← capital prestado al cliente</t>
        </is>
      </c>
    </row>
    <row r="109" ht="24.05" customHeight="1" s="33">
      <c r="A109" s="3" t="inlineStr">
        <is>
          <t>Total que quiero cobrar  ($)</t>
        </is>
      </c>
      <c r="B109" s="15" t="n">
        <v>0</v>
      </c>
      <c r="C109" s="5" t="inlineStr">
        <is>
          <t>← suma total que quieres recibir</t>
        </is>
      </c>
    </row>
    <row r="110" ht="24.05" customHeight="1" s="33">
      <c r="A110" s="3" t="inlineStr">
        <is>
          <t>Número de meses</t>
        </is>
      </c>
      <c r="B110" s="16" t="n">
        <v>0</v>
      </c>
      <c r="C110" s="5" t="inlineStr">
        <is>
          <t>← duración del crédito</t>
        </is>
      </c>
    </row>
    <row r="111" ht="8.1" customHeight="1" s="33"/>
    <row r="112" ht="26.1" customHeight="1" s="33">
      <c r="A112" s="8" t="inlineStr">
        <is>
          <t>Cuota mensual</t>
        </is>
      </c>
      <c r="B112" s="9">
        <f>IFERROR(B109/B110,0)</f>
        <v/>
      </c>
    </row>
    <row r="113" ht="26.1" customHeight="1" s="33">
      <c r="A113" s="8" t="inlineStr">
        <is>
          <t>Interés mensual  (%)</t>
        </is>
      </c>
      <c r="B113" s="40">
        <f>IFERROR(RATE(B110,-B112,B108)*100,0)</f>
        <v/>
      </c>
    </row>
    <row r="114" ht="26.1" customHeight="1" s="33">
      <c r="A114" s="8" t="inlineStr">
        <is>
          <t>Interés anual  (%)</t>
        </is>
      </c>
      <c r="B114" s="40">
        <f>IFERROR(B113*12,0)</f>
        <v/>
      </c>
    </row>
    <row r="115" ht="14.15" customHeight="1" s="33"/>
    <row r="116" ht="21.9" customHeight="1" s="33">
      <c r="A116" s="34" t="inlineStr">
        <is>
          <t xml:space="preserve">  Modo B · Conozco la CUOTA mensual que le voy a cobrar</t>
        </is>
      </c>
    </row>
    <row r="117" ht="24.05" customHeight="1" s="33">
      <c r="A117" s="3" t="inlineStr">
        <is>
          <t>Valor de la moto  (lo que presté)</t>
        </is>
      </c>
      <c r="B117" s="15" t="n">
        <v>0</v>
      </c>
      <c r="C117" s="5" t="inlineStr">
        <is>
          <t>← capital prestado al cliente</t>
        </is>
      </c>
    </row>
    <row r="118" ht="24.05" customHeight="1" s="33">
      <c r="A118" s="3" t="inlineStr">
        <is>
          <t>Cuota mensual  ($)</t>
        </is>
      </c>
      <c r="B118" s="15" t="n">
        <v>0</v>
      </c>
      <c r="C118" s="5" t="inlineStr">
        <is>
          <t>← cuánto va a pagar cada mes</t>
        </is>
      </c>
    </row>
    <row r="119" ht="24.05" customHeight="1" s="33">
      <c r="A119" s="3" t="inlineStr">
        <is>
          <t>Número de meses</t>
        </is>
      </c>
      <c r="B119" s="16" t="n">
        <v>0</v>
      </c>
      <c r="C119" s="5" t="inlineStr">
        <is>
          <t>← duración del crédito</t>
        </is>
      </c>
    </row>
    <row r="120" ht="8.1" customHeight="1" s="33"/>
    <row r="121" ht="26.1" customHeight="1" s="33">
      <c r="A121" s="8" t="inlineStr">
        <is>
          <t>Total a cobrar  ($)</t>
        </is>
      </c>
      <c r="B121" s="9">
        <f>IFERROR(B118*B119,0)</f>
        <v/>
      </c>
    </row>
    <row r="122" ht="26.1" customHeight="1" s="33">
      <c r="A122" s="8" t="inlineStr">
        <is>
          <t>Interés mensual  (%)</t>
        </is>
      </c>
      <c r="B122" s="40">
        <f>IFERROR(RATE(B119,-B118,B117)*100,0)</f>
        <v/>
      </c>
    </row>
    <row r="123" ht="26.1" customHeight="1" s="33">
      <c r="A123" s="8" t="inlineStr">
        <is>
          <t>Interés anual  (%)</t>
        </is>
      </c>
      <c r="B123" s="40">
        <f>IFERROR(B122*12,0)</f>
        <v/>
      </c>
    </row>
    <row r="125">
      <c r="A125" s="32" t="inlineStr">
        <is>
          <t xml:space="preserve">  Celdas amarillas -&gt; entrada manual  |  Celdas verdes -&gt; calculadas  |  Interés usa fórmula compuesta (RATE de Excel)</t>
        </is>
      </c>
    </row>
  </sheetData>
  <mergeCells count="9">
    <mergeCell ref="A125:F125"/>
    <mergeCell ref="A107:F107"/>
    <mergeCell ref="A116:F116"/>
    <mergeCell ref="A102:F102"/>
    <mergeCell ref="A1:F1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2026-08-04T14:26:18Z</dcterms:created>
  <dcterms:modified xsi:type="dcterms:W3CDTF">2026-08-23T16:47:44Z</dcterms:modified>
  <cp:lastModifiedBy>Jeffer Arias</cp:lastModifiedBy>
</cp:coreProperties>
</file>